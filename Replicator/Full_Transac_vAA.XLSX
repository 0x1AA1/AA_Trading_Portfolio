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Omnix\Downloads\"/>
    </mc:Choice>
  </mc:AlternateContent>
  <xr:revisionPtr revIDLastSave="0" documentId="8_{16A5D83C-21AA-4880-B4D0-7B85B82FAF96}" xr6:coauthVersionLast="36" xr6:coauthVersionMax="36" xr10:uidLastSave="{00000000-0000-0000-0000-000000000000}"/>
  <bookViews>
    <workbookView xWindow="0" yWindow="0" windowWidth="24720" windowHeight="10005" xr2:uid="{00000000-000D-0000-FFFF-FFFF00000000}"/>
  </bookViews>
  <sheets>
    <sheet name="Full_transac" sheetId="6" r:id="rId1"/>
  </sheets>
  <definedNames>
    <definedName name="_xlnm._FilterDatabase" localSheetId="0" hidden="1">Full_transac!$A$1:$I$72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5" i="6" l="1"/>
  <c r="F72" i="6"/>
  <c r="F22" i="6"/>
  <c r="F23"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21" i="6"/>
  <c r="F11" i="6"/>
  <c r="F20" i="6"/>
  <c r="F19" i="6"/>
  <c r="F18" i="6"/>
  <c r="F12" i="6"/>
  <c r="F14" i="6"/>
  <c r="F13" i="6"/>
  <c r="F10" i="6"/>
  <c r="F9" i="6"/>
  <c r="F8" i="6"/>
  <c r="F6" i="6"/>
  <c r="F7" i="6"/>
  <c r="M15" i="6" s="1"/>
  <c r="O15" i="6" s="1"/>
  <c r="F17" i="6"/>
  <c r="F15" i="6"/>
  <c r="M17" i="6" s="1"/>
  <c r="O17" i="6" s="1"/>
  <c r="F5" i="6"/>
  <c r="F4" i="6"/>
  <c r="F3" i="6"/>
  <c r="F2" i="6"/>
  <c r="N15" i="6" l="1"/>
  <c r="M24" i="6"/>
  <c r="M23" i="6"/>
  <c r="O23" i="6" s="1"/>
  <c r="M18" i="6"/>
  <c r="M19" i="6"/>
  <c r="O19" i="6" s="1"/>
  <c r="M21" i="6"/>
  <c r="O21" i="6" s="1"/>
  <c r="M20" i="6"/>
  <c r="M22" i="6"/>
  <c r="N24" i="6"/>
  <c r="N19" i="6"/>
  <c r="M16" i="6"/>
  <c r="N20" i="6" l="1"/>
  <c r="O20" i="6"/>
  <c r="O16" i="6"/>
  <c r="N16" i="6"/>
  <c r="N18" i="6"/>
  <c r="O18" i="6"/>
  <c r="N25" i="6"/>
  <c r="O24" i="6"/>
  <c r="N22" i="6"/>
  <c r="O22" i="6"/>
  <c r="N23" i="6"/>
  <c r="N21" i="6"/>
  <c r="N17" i="6"/>
</calcChain>
</file>

<file path=xl/sharedStrings.xml><?xml version="1.0" encoding="utf-8"?>
<sst xmlns="http://schemas.openxmlformats.org/spreadsheetml/2006/main" count="533" uniqueCount="245">
  <si>
    <t>Silver</t>
  </si>
  <si>
    <t>N/A</t>
  </si>
  <si>
    <t>SBSW</t>
  </si>
  <si>
    <t>PLTR</t>
  </si>
  <si>
    <t>Comment</t>
  </si>
  <si>
    <t>ISIN</t>
  </si>
  <si>
    <t>Name</t>
  </si>
  <si>
    <t>Date</t>
  </si>
  <si>
    <t>DE000ME850L6</t>
  </si>
  <si>
    <t>BYD LEVERAGE X5</t>
  </si>
  <si>
    <t>Quantity</t>
  </si>
  <si>
    <t>Price_Cours</t>
  </si>
  <si>
    <t>-</t>
  </si>
  <si>
    <t>DE000MK5FEF0</t>
  </si>
  <si>
    <t>FR0013416716</t>
  </si>
  <si>
    <t xml:space="preserve"> ETC AMUNDI PHYS</t>
  </si>
  <si>
    <t>Tesla SHORT X8</t>
  </si>
  <si>
    <t> DE000MK45SK5</t>
  </si>
  <si>
    <t>PLTR US LEVERAGE X6</t>
  </si>
  <si>
    <t>31/06/2025</t>
  </si>
  <si>
    <t>ETC AMUNDI PHYS</t>
  </si>
  <si>
    <t>DE000MK45SK5</t>
  </si>
  <si>
    <t>DE000MK95EJ2</t>
  </si>
  <si>
    <t>Tesla SHORT X10</t>
  </si>
  <si>
    <t>Cash EUR</t>
  </si>
  <si>
    <t>DE000MJ2HAZ2</t>
  </si>
  <si>
    <t>Baidu 100C 190925</t>
  </si>
  <si>
    <t>Baidu 105C 190925</t>
  </si>
  <si>
    <t>SBSW US 8C 190925</t>
  </si>
  <si>
    <t xml:space="preserve">Legend : </t>
  </si>
  <si>
    <t>DE000MG1VFU8</t>
  </si>
  <si>
    <t>BTG 6C 190925</t>
  </si>
  <si>
    <t>GFI</t>
  </si>
  <si>
    <t>GOLD FIELDS LTD ADR</t>
  </si>
  <si>
    <t>Naked long - Based on earnings projection (PLTR earnings inc, Baidu cash almost equal to valuation)</t>
  </si>
  <si>
    <t>NVDA 220C 190126</t>
  </si>
  <si>
    <t>DE000MG6ERS</t>
  </si>
  <si>
    <t>NVDA 120p 171225</t>
  </si>
  <si>
    <t>DE000MG5MTK</t>
  </si>
  <si>
    <t>DE000SY761Y8</t>
  </si>
  <si>
    <t xml:space="preserve">CAC40 7400P 0925 </t>
  </si>
  <si>
    <t xml:space="preserve">CAC40 8000C 0925 </t>
  </si>
  <si>
    <t>DE000GS91YS</t>
  </si>
  <si>
    <t>Watchlist</t>
  </si>
  <si>
    <t>RGTI</t>
  </si>
  <si>
    <t>OPEN</t>
  </si>
  <si>
    <t>Short</t>
  </si>
  <si>
    <t>Long</t>
  </si>
  <si>
    <t>AI seems bubbly - the only cash gen corp in the bubble - concentration risk in hypervisors</t>
  </si>
  <si>
    <t>HL US Leverage x4</t>
  </si>
  <si>
    <r>
      <t>Up 140% - profitted from previously mentionned elements on call option, converted call gains into equityx4 -</t>
    </r>
    <r>
      <rPr>
        <b/>
        <sz val="11"/>
        <color theme="1"/>
        <rFont val="Calibri"/>
        <family val="2"/>
        <scheme val="minor"/>
      </rPr>
      <t xml:space="preserve"> awaiting FOP transfer</t>
    </r>
  </si>
  <si>
    <t>DE000MM2L5L5</t>
  </si>
  <si>
    <t>HL 12C 190925</t>
  </si>
  <si>
    <t>B2Gold Leverage X10</t>
  </si>
  <si>
    <t xml:space="preserve">Sectorial carry (PM / Critical supply chain with producer focus due to supply shortage) - BTG, HL are the best in terms of value/price (hecla going up already), on platinum impala or SBSW if wanting 6E + diversification of metal exposure  </t>
  </si>
  <si>
    <t>Pair trading EV - Sectorial bullish - Chinese EV &gt; US EV, EU Trailing, looking for convergence towards mean between an overvalued stock (TSLA) and an undervalued stock (BYD)</t>
  </si>
  <si>
    <t>Heavily underpriced volatility - Left to exercise on expiry - learned about liquidity lock in</t>
  </si>
  <si>
    <t>Baidu 70p 190925</t>
  </si>
  <si>
    <t>Heavily underpriced volatility - put not far from ATM but fundamentals are strong, might expire worthless</t>
  </si>
  <si>
    <t>Heavily underpriced volatility - despite platinium and 6E metals being up 30% YTD, effect on operating margin, FCF and earnings can jump - operates in tax sensitive jurisdiction -  risk from employees (wages / infla / fx risk, SA &amp; Zimbabwe) 6E metals and gold actor (350koz/annum) - underpriced equity also in recent bump to 7</t>
  </si>
  <si>
    <t>DE000MJ3WUT0</t>
  </si>
  <si>
    <t>DE000MK641A4</t>
  </si>
  <si>
    <t>Xpeng 27C 190126</t>
  </si>
  <si>
    <t>DE000MG0YVR7</t>
  </si>
  <si>
    <t>PDD 150C 171225</t>
  </si>
  <si>
    <r>
      <t xml:space="preserve">Expired as predicted in the money since platinum price was going to sustain at 1.3 - SBSW still heavily bullish, </t>
    </r>
    <r>
      <rPr>
        <b/>
        <sz val="11"/>
        <color theme="1"/>
        <rFont val="Calibri"/>
        <family val="2"/>
        <scheme val="minor"/>
      </rPr>
      <t>to be rolled over for 0126 - awaiting FOP transfer</t>
    </r>
  </si>
  <si>
    <t>Up 300% on naked long, take profit avoid burns - earnings still disappointing factually speaking (fell from 180 to 150 two weeks after I left)</t>
  </si>
  <si>
    <t>USD/CHF 0.79P 171225</t>
  </si>
  <si>
    <t>Highest sectorial performance in terms of equity ytd (silver), high likely that hecla (AISC approx 8usd/oz one of best production and cost ctrl in sector) benefits from high growth compared to sector avg of ~14, up to 20) - US corp, tariff hedged - incoming silver criticality for solar</t>
  </si>
  <si>
    <t>Instead of exposure to gold, exposure to miners - given earlier divergence between growth in the two, leveraged through options, B2G best valuation in sector (production, AISC, sales, market cap, debt, operating margins, target at least 5.5 by year end)</t>
  </si>
  <si>
    <t>To be reduced - exposure to gold is on a plateau</t>
  </si>
  <si>
    <t>High liq. Stabilisation of portfolio awaiting for opportunities to study</t>
  </si>
  <si>
    <t>Starting to get burned by theta decay AND real vol vs priced vol- hurting the returns. Position taken when tesla was 335 - went up to x3 on the short because of Elon tweets and failed to sell. Holding too long loses lots of money in this type of instrument</t>
  </si>
  <si>
    <t>"State" backed - Over valued, yet will be higher on earnings incoming</t>
  </si>
  <si>
    <t>Coming back up, market being rational ? Price wars are received … in a mitigated way not positive way</t>
  </si>
  <si>
    <t>Chinese state unhappy about price cuts, despite company good perf, sentiment analysis gives negative returns on social media on the stock, good returns on products - to be liquidated</t>
  </si>
  <si>
    <t>Liquidating</t>
  </si>
  <si>
    <t>Other leg of a wide straddle</t>
  </si>
  <si>
    <t>To be sold soon - otherwise can expire worthless</t>
  </si>
  <si>
    <t>AI seems bubbly - the only cash gen corp in the bubble - revenue concentration risk in hypervisors clients - gamma long</t>
  </si>
  <si>
    <t>one of few plat miners, underpriced, and vol underpriced (AMM) vs. Impala (slightly) despite diversification of mining, lesser riots, and only JV exposure to zimbabwe</t>
  </si>
  <si>
    <t>One of the most vol miners despite market cap - exposure to gold-related-equity before H1 earnings call - to be liquidated at 33usd - care of taxation / royalties (South Africa) and long term contracts on gold contracting margins despite high gold spot price</t>
  </si>
  <si>
    <t>Higher cash pos benefitted from options on gold sold back, to be correctly distributed</t>
  </si>
  <si>
    <t>Doubling on the short after 2nd tweets of musk on politics, and earnings call announcing future hard quarters - Irrational market - x10 just for the next jump down then exiting TSLA - Never bet with or against musk, Warren / Munger were right</t>
  </si>
  <si>
    <t>DE000MK367M1</t>
  </si>
  <si>
    <t>NOVOB 490C 171225</t>
  </si>
  <si>
    <t>NOVOB 520C 171225</t>
  </si>
  <si>
    <t>DE000MJ8VJV0</t>
  </si>
  <si>
    <t>Value_At_Date (EUR)</t>
  </si>
  <si>
    <t>PLTR US 90p 171215</t>
  </si>
  <si>
    <t>DE000MK1G1U7</t>
  </si>
  <si>
    <t>DE000GV9M723</t>
  </si>
  <si>
    <t>TSLA 280P 1125</t>
  </si>
  <si>
    <r>
      <t xml:space="preserve">up 100% High leverage - profitting from a quick fall - post ex-dividend, on price which will rebounce on production / earnings shock for Q3. (part of inventory not counted on Q2 sales- 20koz) - spot price sales, low AISC still post earnings - still same fundamentals of company + hedge funds increasing position - </t>
    </r>
    <r>
      <rPr>
        <b/>
        <sz val="11"/>
        <color theme="1"/>
        <rFont val="Calibri"/>
        <family val="2"/>
        <scheme val="minor"/>
      </rPr>
      <t>awaiting FOP transfer</t>
    </r>
  </si>
  <si>
    <r>
      <t xml:space="preserve">Expired as predicted in the money since company was heavily underpriced compared to fundamentals. Slightly overvalued rn, and consumer of chips not major producer of AI, to be replaced by Huawei or Huawei-equivalent - </t>
    </r>
    <r>
      <rPr>
        <b/>
        <sz val="11"/>
        <color theme="1"/>
        <rFont val="Calibri"/>
        <family val="2"/>
        <scheme val="minor"/>
      </rPr>
      <t>- awaiting FOP transfer</t>
    </r>
  </si>
  <si>
    <r>
      <t>Still bullish EV - Given Tariffs dodging through thailand and soon austria, given margins of xpeng remaining large despite price war, a x2 valuation is plausible (awaiting for sales numbers, expecting margin explosion given rise in sales abroad and controlled costs) -</t>
    </r>
    <r>
      <rPr>
        <b/>
        <sz val="11"/>
        <color theme="1"/>
        <rFont val="Calibri"/>
        <family val="2"/>
        <scheme val="minor"/>
      </rPr>
      <t xml:space="preserve"> - awaiting FOP transfer</t>
    </r>
  </si>
  <si>
    <r>
      <t xml:space="preserve">Underpriced vol - despite consumer spending lowering its still in growth, market pen in EU, price increase instead of absorbtion of tariffs in US.Up 100% - at break even.
Could dethrone amazon, was already at 140+ with worse fundamentals. De-escalation w/ china can increase price - Bullish but delta neutral because in case of agression with china stock can go way lower
good PE and to decrease post nov 20 earnings - </t>
    </r>
    <r>
      <rPr>
        <b/>
        <sz val="11"/>
        <color theme="1"/>
        <rFont val="Calibri"/>
        <family val="2"/>
        <scheme val="minor"/>
      </rPr>
      <t>- awaiting FOP transfer</t>
    </r>
  </si>
  <si>
    <r>
      <t xml:space="preserve">Though not neutral, it is to hedge all my FX risk on USD returns (most of the options and equity / levraged warrants have payoff in USD + FX swap) - </t>
    </r>
    <r>
      <rPr>
        <b/>
        <sz val="11"/>
        <color theme="1"/>
        <rFont val="Calibri"/>
        <family val="2"/>
        <scheme val="minor"/>
      </rPr>
      <t>- awaiting FOP transfer</t>
    </r>
  </si>
  <si>
    <r>
      <t xml:space="preserve">Hedging US market crisis potential - which can touch pltr more than others due to 150+ P/E ratio - </t>
    </r>
    <r>
      <rPr>
        <b/>
        <sz val="11"/>
        <color theme="1"/>
        <rFont val="Calibri"/>
        <family val="2"/>
        <scheme val="minor"/>
      </rPr>
      <t>- awaiting FOP transfer</t>
    </r>
  </si>
  <si>
    <r>
      <t xml:space="preserve">September "bearish seasonality" hedge - Time decay is against TSLA, and with chinese EV makers. Q3 earnings will be key to determine sectorial direction for 2 future years. Europe statistics seem favorable for Chinese EV makers, TSLA only surpasses in couple of country (only norway stable) - to see august sales - </t>
    </r>
    <r>
      <rPr>
        <b/>
        <sz val="11"/>
        <color theme="1"/>
        <rFont val="Calibri"/>
        <family val="2"/>
        <scheme val="minor"/>
      </rPr>
      <t>- awaiting FOP transfer</t>
    </r>
  </si>
  <si>
    <r>
      <t>Straddle not yet liquidated</t>
    </r>
    <r>
      <rPr>
        <b/>
        <sz val="11"/>
        <color theme="1"/>
        <rFont val="Calibri"/>
        <family val="2"/>
        <scheme val="minor"/>
      </rPr>
      <t xml:space="preserve"> ( - awaiting FOP transfer)</t>
    </r>
  </si>
  <si>
    <r>
      <t xml:space="preserve">Straddle not yet liquidated </t>
    </r>
    <r>
      <rPr>
        <b/>
        <sz val="11"/>
        <color theme="1"/>
        <rFont val="Calibri"/>
        <family val="2"/>
        <scheme val="minor"/>
      </rPr>
      <t>( - awaiting FOP transfer)</t>
    </r>
  </si>
  <si>
    <r>
      <t>Undervalued, despite operating margins being decent, and plans to reduce costs - shares buybacks stopped, they were done when company was overvalued. A lucky news would spark upside, one of the biggest losers of 2025 despite healthy org - no point in making straddle because of fundamentals creating support for price - -</t>
    </r>
    <r>
      <rPr>
        <b/>
        <sz val="11"/>
        <color theme="1"/>
        <rFont val="Calibri"/>
        <family val="2"/>
        <scheme val="minor"/>
      </rPr>
      <t xml:space="preserve"> awaiting FOP transfer</t>
    </r>
  </si>
  <si>
    <r>
      <t xml:space="preserve">Undervalued, despite operating margins being decent, and plans to reduce costs - shares buybacks stopped, they were done when company was overvalued. A lucky news would spark upside, one of the biggest losers of 2025 despite healthy org - no point in making straddle because of fundamentals creating support for price - </t>
    </r>
    <r>
      <rPr>
        <b/>
        <sz val="11"/>
        <color theme="1"/>
        <rFont val="Calibri"/>
        <family val="2"/>
        <scheme val="minor"/>
      </rPr>
      <t>- awaiting FOP transfer</t>
    </r>
  </si>
  <si>
    <t>Former_Broker</t>
  </si>
  <si>
    <t>Today</t>
  </si>
  <si>
    <t>Total position and cash 29/09</t>
  </si>
  <si>
    <t xml:space="preserve">Straddle Expired worthless - net loss around 2k on position - to AVOID speculating on volatility to be different from historical on protests in France - tu vois bien que l'économie continue à fonctionner correctement =&gt; pourquoi douter de la distribution de capital basée sur les sentiments des AM ? </t>
  </si>
  <si>
    <t>CBOE VIX x3 Long</t>
  </si>
  <si>
    <t>market complacency until a week before tariffs, vix relatively low pre-storm -&gt; x4 gains post transaction costs (1103eur) - profitting from tariffs vol spikes on announces - luckily the numbers were calculated willy nilly based on trade deficit, not taking into acc the deficit caused by petrodollars - a cause of hegemony reversed, dollar to be shorted from here, which is also the intention of USGOP - devalue currency for better exports - do not go against the wind</t>
  </si>
  <si>
    <t>Gold Exposure - Real gold bars audited - avoiding synth gold etcs which can carry a credit risk higher than advertised</t>
  </si>
  <si>
    <t>CCJ US 70C 0625</t>
  </si>
  <si>
    <t>Starbucks short x4</t>
  </si>
  <si>
    <t>Pair trading per sector - e.g. EV - Sectorial bullish, some companies are heavily overpriced while others are underpriced - trend reversal in sector is rather fast + high realised vol in some cases</t>
  </si>
  <si>
    <t>GSCI Coffee short X3</t>
  </si>
  <si>
    <t>Awaiting for other opportunities - keep taking gold appreciation</t>
  </si>
  <si>
    <t>Note to self</t>
  </si>
  <si>
    <t>Aim for the right delta to profit from convexity on options when buying - avoid far ootm, try 0.1 to 0.2 delta - to be adjusted</t>
  </si>
  <si>
    <t>Inverse correlation on coffee price and coffee places such a sbux - divergence appearing (stock up, coffee price up) whereas margins will compress by next earnings, to hold until end of may - gains aim +50% - pair trading in commo</t>
  </si>
  <si>
    <t>Short coffee as cover - it spiked already and price seems way too off to incentivise farmers to sell again - supply shock seems continious over next years until crops yield enhances - aim for 10% downwards on coffee price on short term - pair trading in commo</t>
  </si>
  <si>
    <t>XAGUSD 45C 1225</t>
  </si>
  <si>
    <t>Shortage in XAG (silver) supply &gt;&gt; demand, and supply shortage is underpriced vis-à-vis solar power need + potential need from central banks / sov funds / AM later after gold - issue is storage cost higher than gold - metallurgical need to surge - aim for +50% on option</t>
  </si>
  <si>
    <t>IAMGOLD Levrage X3</t>
  </si>
  <si>
    <t>Aim for +30% - May benefit from stabilisation of burkina fasso govt and efforts to build infrastructure - carry effect of gold sector and reduced cost on labor</t>
  </si>
  <si>
    <t xml:space="preserve"> ETC GOLD AMUNDI PHYS</t>
  </si>
  <si>
    <t>DN</t>
  </si>
  <si>
    <t>NL</t>
  </si>
  <si>
    <t>SC</t>
  </si>
  <si>
    <t>PT</t>
  </si>
  <si>
    <t>Class</t>
  </si>
  <si>
    <t>SC - NL</t>
  </si>
  <si>
    <t>Strategy</t>
  </si>
  <si>
    <t>Momentum</t>
  </si>
  <si>
    <t>Mean Reversing</t>
  </si>
  <si>
    <t>PT - DN</t>
  </si>
  <si>
    <t>CCJ US 30p 0625</t>
  </si>
  <si>
    <t>SC - DN</t>
  </si>
  <si>
    <t>Heavy spike</t>
  </si>
  <si>
    <t>Mean Reversing + momentum</t>
  </si>
  <si>
    <t>HCC US 70C 1225</t>
  </si>
  <si>
    <t>HCC US 35p 1225</t>
  </si>
  <si>
    <t>Local vol underpriced - See cost curve of metalurgical coal - best efficiency in the world + coal equity hitting low - metalurgical coal +4% CAGR - heavy reliance on coal worldwide (EM especially) - next earnings calls can be very deterministic if profit margins still positive despite current coal price being low - use as protection - supported by met coal price</t>
  </si>
  <si>
    <t>Nuclear exposure, potential sanctions on neighbooring countries and trading partners in case of non ending of US proxy war w/ Russia via Ukraine (think kazakhstan uranium sanctionned) - operates processing services which are the lucrative part of nuclear right now - high P/E but will benefit from news sentiment - relatively underpriced vol compared to incoming events - major player poised to take advantage of tailwind - use as protection - supported by uranium servicing prices</t>
  </si>
  <si>
    <t>Local vol underpriced - See cost curve of metalurgical coal - best efficiency in the world + coal equity hitting low - metalurgical coal +4% CAGR - heavy reliance on coal worldwide (EM especially) - next earnings calls can be very deterministic if profit margins still positive despite current coal price being low - aim for 0.65 - breakeven at 0.3</t>
  </si>
  <si>
    <t>Nuclear exposure, potential sanctions on neighbooring countries and trading partners in case of non ending of US proxy war w/ Russia via Ukraine (think kazakhstan uranium sanctionned) - operates processing services which are the lucrative part of nuclear right now - high P/E but will benefit from news sentiment - relatively underpriced vol compared to incoming events - major player poised to take advantage of tailwind - aim for 0.8 - breakeven at 0.2</t>
  </si>
  <si>
    <t>Awaiting for other opportunities - keep taking gold appreciation - long on short term gold vs USD especially given tariff situation</t>
  </si>
  <si>
    <t>Broker change</t>
  </si>
  <si>
    <t>DN - Gamma long</t>
  </si>
  <si>
    <t>Gain % (Minus Transac fees 50E)</t>
  </si>
  <si>
    <t>Liquidating - 10% gain - too slow in aggregation, will take year long to reach 4k for roughly 40% gain, beating market but not substantially, gold silver ratio to watch - silver breakout potentially - needed exposure to silver - used a bit of leverage at a moment to try out how leveraged ETF work</t>
  </si>
  <si>
    <t>Delta Neutral On sector at least or company - gamma long (French inner instability due to debt and govt dissolving, AI hype straddle serves as "major" hedge for crisis, similar for PLTR and TSLA due to their high P/E ratios and valuations based on hope)</t>
  </si>
  <si>
    <t>Arbitrage / Mean reversing</t>
  </si>
  <si>
    <t>Cumul_Gain 
(base 1000)</t>
  </si>
  <si>
    <t>Total_Portfolio (EUR) - excluding initial 50€ for transaction fees</t>
  </si>
  <si>
    <t>QBTS</t>
  </si>
  <si>
    <t>QUBT</t>
  </si>
  <si>
    <t>Logic</t>
  </si>
  <si>
    <t>Direction</t>
  </si>
  <si>
    <t>Quantum =&gt; Shor alg</t>
  </si>
  <si>
    <t>Realestate vs Blackstone</t>
  </si>
  <si>
    <t>IONQ</t>
  </si>
  <si>
    <t>MSTR</t>
  </si>
  <si>
    <t>Bitcoin hypersensitivity + vol arbitrages</t>
  </si>
  <si>
    <t>OKLO</t>
  </si>
  <si>
    <t>Way above fundamentals</t>
  </si>
  <si>
    <t>TSLA</t>
  </si>
  <si>
    <t>SRPT</t>
  </si>
  <si>
    <t>Gene therapy is actually decent - few deaths here and there</t>
  </si>
  <si>
    <t>HCC</t>
  </si>
  <si>
    <t>Met Coal reaching support, market on backwardation</t>
  </si>
  <si>
    <t>Platinum baby mixed with gold</t>
  </si>
  <si>
    <t>AMD</t>
  </si>
  <si>
    <t>Underpriced vs NVDA - tailwind inc</t>
  </si>
  <si>
    <t>Intel</t>
  </si>
  <si>
    <t>Heavy long on intel … but govt got involved</t>
  </si>
  <si>
    <t>ORCL</t>
  </si>
  <si>
    <t>META</t>
  </si>
  <si>
    <t>ALB</t>
  </si>
  <si>
    <t>AI Circular economy + surveillance state sentiment analysis</t>
  </si>
  <si>
    <t>Surveillance state sentiment analysis</t>
  </si>
  <si>
    <t>Cloud activity in China if it follows hypervisor trajectory in US</t>
  </si>
  <si>
    <t>ABVX</t>
  </si>
  <si>
    <t>Solid fundamentals</t>
  </si>
  <si>
    <t>RIO</t>
  </si>
  <si>
    <t>Solid fundamentals - P/E 9.9, Div 6% - wait for steel lower prices</t>
  </si>
  <si>
    <t>Equinor</t>
  </si>
  <si>
    <t>OCY</t>
  </si>
  <si>
    <t>PB</t>
  </si>
  <si>
    <t>Solid EU integration - no descalation in ukraine yet - low and controlled costs - very good margins can be sustained until 40USD/barrel</t>
  </si>
  <si>
    <t>Hard to sustain below 55usd/bbl - wait for OCY to bottom</t>
  </si>
  <si>
    <t>best margins in industry + offshore new discoveries - major reserves inc</t>
  </si>
  <si>
    <t>HMY</t>
  </si>
  <si>
    <t>BTG</t>
  </si>
  <si>
    <t>CCJ</t>
  </si>
  <si>
    <t>IMPUY</t>
  </si>
  <si>
    <t>Gold</t>
  </si>
  <si>
    <t>Uranium</t>
  </si>
  <si>
    <t>Platinum</t>
  </si>
  <si>
    <t>EDEN</t>
  </si>
  <si>
    <t>German REITS</t>
  </si>
  <si>
    <t>USDCHF</t>
  </si>
  <si>
    <t>XAGUSD</t>
  </si>
  <si>
    <t>XAUUSD</t>
  </si>
  <si>
    <t>FX risk mgmt</t>
  </si>
  <si>
    <t>Undervalued</t>
  </si>
  <si>
    <t>Like many french stocks undervalued. solid non visible regulatory moat - 15% growth, high div, low valuation</t>
  </si>
  <si>
    <t>Ticker</t>
  </si>
  <si>
    <r>
      <t xml:space="preserve">Maximum Drawdown : </t>
    </r>
    <r>
      <rPr>
        <b/>
        <sz val="11"/>
        <color theme="1"/>
        <rFont val="Calibri"/>
        <family val="2"/>
        <scheme val="minor"/>
      </rPr>
      <t>27.9%</t>
    </r>
  </si>
  <si>
    <r>
      <t xml:space="preserve">Sharpe Ratio : </t>
    </r>
    <r>
      <rPr>
        <b/>
        <sz val="11"/>
        <color theme="1"/>
        <rFont val="Calibri"/>
        <family val="2"/>
        <scheme val="minor"/>
      </rPr>
      <t>9.35</t>
    </r>
    <r>
      <rPr>
        <sz val="11"/>
        <color theme="1"/>
        <rFont val="Calibri"/>
        <family val="2"/>
        <scheme val="minor"/>
      </rPr>
      <t xml:space="preserve"> (too short term though, need to wait)</t>
    </r>
  </si>
  <si>
    <r>
      <t xml:space="preserve">Vol Annualized estimation (very high) used for Sharpe : </t>
    </r>
    <r>
      <rPr>
        <b/>
        <sz val="11"/>
        <color theme="1"/>
        <rFont val="Calibri"/>
        <family val="2"/>
        <scheme val="minor"/>
      </rPr>
      <t>396%</t>
    </r>
  </si>
  <si>
    <r>
      <t>SILJ Maximum Drawdown :</t>
    </r>
    <r>
      <rPr>
        <b/>
        <sz val="11"/>
        <color theme="1"/>
        <rFont val="Calibri"/>
        <family val="2"/>
        <scheme val="minor"/>
      </rPr>
      <t xml:space="preserve"> 79%</t>
    </r>
  </si>
  <si>
    <t xml:space="preserve">SILJ Sharpe (est) : </t>
  </si>
  <si>
    <t>Metric</t>
  </si>
  <si>
    <t>SILJ</t>
  </si>
  <si>
    <t>HUI</t>
  </si>
  <si>
    <t>Cum. Ret.</t>
  </si>
  <si>
    <t>Sensi</t>
  </si>
  <si>
    <t>Vol</t>
  </si>
  <si>
    <t>Outperf</t>
  </si>
  <si>
    <t xml:space="preserve">1year </t>
  </si>
  <si>
    <t>Gold Crash, Silver Crash, Chinese stocks bans</t>
  </si>
  <si>
    <t>Under</t>
  </si>
  <si>
    <t>High XAG</t>
  </si>
  <si>
    <t>High XAU</t>
  </si>
  <si>
    <r>
      <rPr>
        <b/>
        <sz val="11"/>
        <color theme="1"/>
        <rFont val="Calibri"/>
        <family val="2"/>
        <scheme val="minor"/>
      </rPr>
      <t xml:space="preserve">High - </t>
    </r>
    <r>
      <rPr>
        <sz val="11"/>
        <color theme="1"/>
        <rFont val="Calibri"/>
        <family val="2"/>
        <scheme val="minor"/>
      </rPr>
      <t>Gold miners leveraged exposure to gold</t>
    </r>
  </si>
  <si>
    <r>
      <rPr>
        <b/>
        <sz val="11"/>
        <color theme="1"/>
        <rFont val="Calibri"/>
        <family val="2"/>
        <scheme val="minor"/>
      </rPr>
      <t xml:space="preserve">High - </t>
    </r>
    <r>
      <rPr>
        <sz val="11"/>
        <color theme="1"/>
        <rFont val="Calibri"/>
        <family val="2"/>
        <scheme val="minor"/>
      </rPr>
      <t>Mining / junior miners are volatile (historical large drawdowns)</t>
    </r>
  </si>
  <si>
    <t>My Portfolio</t>
  </si>
  <si>
    <r>
      <t xml:space="preserve">Bought relatively low implied vol, realised is </t>
    </r>
    <r>
      <rPr>
        <b/>
        <u/>
        <sz val="11"/>
        <color theme="1"/>
        <rFont val="Calibri"/>
        <family val="2"/>
        <scheme val="minor"/>
      </rPr>
      <t xml:space="preserve">higher </t>
    </r>
    <r>
      <rPr>
        <u/>
        <sz val="11"/>
        <color theme="1"/>
        <rFont val="Calibri"/>
        <family val="2"/>
        <scheme val="minor"/>
      </rPr>
      <t xml:space="preserve">- </t>
    </r>
    <r>
      <rPr>
        <sz val="11"/>
        <color theme="1"/>
        <rFont val="Calibri"/>
        <family val="2"/>
        <scheme val="minor"/>
      </rPr>
      <t>overall higher than SILJ on the period</t>
    </r>
  </si>
  <si>
    <t>Above benchmarks (set as benchmark by itself)</t>
  </si>
  <si>
    <t>USD TY 1Y</t>
  </si>
  <si>
    <t>Us treasuries 1y mat</t>
  </si>
  <si>
    <t>BRL TR 1Y</t>
  </si>
  <si>
    <t>Nigeria eurobonds</t>
  </si>
  <si>
    <t>Low oil price =&gt; default potential</t>
  </si>
  <si>
    <t>Brazilian economy seems underpriced compared to real value - bond yield will lower ?</t>
  </si>
  <si>
    <t>OAT</t>
  </si>
  <si>
    <t>Bonds</t>
  </si>
  <si>
    <t>Real-Estate</t>
  </si>
  <si>
    <t>Equity</t>
  </si>
  <si>
    <t>Commodity</t>
  </si>
  <si>
    <t>Asset-Class</t>
  </si>
  <si>
    <t>French begging IMF ?</t>
  </si>
  <si>
    <t>EURUSD</t>
  </si>
  <si>
    <t>FX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</si>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</sst>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b/>
      <sz val="11"/>
      <color theme="0"/>
      <name val="Calibri"/>
      <family val="2"/>
      <scheme val="minor"/>
    </font>
    <font>
      <b/>
      <sz val="11"/>
      <color theme="1"/>
      <name val="Calibri"/>
      <family val="2"/>
      <scheme val="minor"/>
    </font>
    <font>
      <b/>
      <sz val="11"/>
      <color rgb="FFFA7D00"/>
      <name val="Calibri"/>
      <family val="2"/>
      <scheme val="minor"/>
    </font>
    <font>
      <sz val="11"/>
      <color rgb="FFFF0000"/>
      <name val="Calibri"/>
      <family val="2"/>
      <scheme val="minor"/>
    </font>
    <font>
      <u/>
      <sz val="11"/>
      <color theme="1"/>
      <name val="Calibri"/>
      <family val="2"/>
      <scheme val="minor"/>
    </font>
    <font>
      <b/>
      <u/>
      <sz val="11"/>
      <color theme="1"/>
      <name val="Calibri"/>
      <family val="2"/>
      <scheme val="minor"/>
    </font>
  </fonts>
  <fills count="11">
    <fill>
      <patternFill patternType="none"/>
    </fill>
    <fill>
      <patternFill patternType="gray125"/>
    </fill>
    <fill>
      <patternFill patternType="solid">
        <fgColor theme="1"/>
        <bgColor indexed="64"/>
      </patternFill>
    </fill>
    <fill>
      <patternFill patternType="solid">
        <fgColor rgb="FFF2F2F2"/>
      </patternFill>
    </fill>
    <fill>
      <patternFill patternType="solid">
        <fgColor theme="4" tint="0.39997558519241921"/>
        <bgColor indexed="64"/>
      </patternFill>
    </fill>
    <fill>
      <patternFill patternType="solid">
        <fgColor theme="7" tint="-0.249977111117893"/>
        <bgColor indexed="64"/>
      </patternFill>
    </fill>
    <fill>
      <patternFill patternType="solid">
        <fgColor rgb="FF92D05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1" tint="4.9989318521683403E-2"/>
        <bgColor indexed="64"/>
      </patternFill>
    </fill>
    <fill>
      <patternFill patternType="solid">
        <fgColor rgb="FFFFFFFF"/>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rgb="FF7F7F7F"/>
      </right>
      <top style="thin">
        <color rgb="FF7F7F7F"/>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3" fillId="3" borderId="2" applyNumberFormat="0" applyAlignment="0" applyProtection="0"/>
  </cellStyleXfs>
  <cellXfs count="75">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2" fontId="0" fillId="0" borderId="1" xfId="0" applyNumberFormat="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4" borderId="3" xfId="0" applyFill="1" applyBorder="1"/>
    <xf numFmtId="0" fontId="0" fillId="5" borderId="3" xfId="0" applyFill="1" applyBorder="1"/>
    <xf numFmtId="0" fontId="0" fillId="6" borderId="3" xfId="0" applyFill="1" applyBorder="1"/>
    <xf numFmtId="0" fontId="0" fillId="7" borderId="3" xfId="0" applyFill="1" applyBorder="1"/>
    <xf numFmtId="14" fontId="0" fillId="0" borderId="1" xfId="0" applyNumberFormat="1" applyBorder="1"/>
    <xf numFmtId="0" fontId="0" fillId="0" borderId="1" xfId="0" applyBorder="1" applyAlignment="1">
      <alignment vertical="center"/>
    </xf>
    <xf numFmtId="0" fontId="0" fillId="4" borderId="1" xfId="0" applyFill="1" applyBorder="1" applyAlignment="1">
      <alignment vertical="center"/>
    </xf>
    <xf numFmtId="0" fontId="0" fillId="6" borderId="1" xfId="0" applyFill="1" applyBorder="1" applyAlignment="1">
      <alignment vertical="center"/>
    </xf>
    <xf numFmtId="0" fontId="0" fillId="5" borderId="1" xfId="0" applyFill="1" applyBorder="1" applyAlignment="1">
      <alignment vertical="center"/>
    </xf>
    <xf numFmtId="0" fontId="1" fillId="9" borderId="4" xfId="0" applyFont="1" applyFill="1" applyBorder="1" applyAlignment="1">
      <alignment horizontal="center"/>
    </xf>
    <xf numFmtId="0" fontId="1" fillId="9" borderId="13" xfId="0" applyFont="1" applyFill="1" applyBorder="1" applyAlignment="1">
      <alignment horizontal="center"/>
    </xf>
    <xf numFmtId="0" fontId="1" fillId="9" borderId="5" xfId="0" applyFont="1" applyFill="1" applyBorder="1" applyAlignment="1">
      <alignment horizontal="center"/>
    </xf>
    <xf numFmtId="0" fontId="0" fillId="0" borderId="6" xfId="0" applyBorder="1"/>
    <xf numFmtId="0" fontId="0" fillId="0" borderId="7" xfId="0" applyBorder="1" applyAlignment="1">
      <alignment wrapText="1"/>
    </xf>
    <xf numFmtId="0" fontId="0" fillId="0" borderId="7" xfId="0" applyBorder="1"/>
    <xf numFmtId="0" fontId="0" fillId="0" borderId="6" xfId="0" applyBorder="1" applyAlignment="1">
      <alignment vertical="center"/>
    </xf>
    <xf numFmtId="0" fontId="0" fillId="0" borderId="6" xfId="0" quotePrefix="1" applyBorder="1" applyAlignment="1">
      <alignment vertical="center"/>
    </xf>
    <xf numFmtId="0" fontId="4" fillId="7" borderId="1" xfId="0" applyFont="1" applyFill="1" applyBorder="1"/>
    <xf numFmtId="0" fontId="0" fillId="0" borderId="15" xfId="0" applyFill="1" applyBorder="1" applyAlignment="1">
      <alignment horizontal="center" wrapText="1"/>
    </xf>
    <xf numFmtId="0" fontId="0" fillId="0" borderId="3" xfId="0" applyBorder="1"/>
    <xf numFmtId="0" fontId="0" fillId="2" borderId="0" xfId="0" applyFill="1"/>
    <xf numFmtId="9" fontId="0" fillId="0" borderId="0" xfId="0" applyNumberFormat="1"/>
    <xf numFmtId="0" fontId="0" fillId="8" borderId="1" xfId="0" applyFill="1" applyBorder="1" applyAlignment="1">
      <alignment wrapText="1"/>
    </xf>
    <xf numFmtId="0" fontId="4" fillId="0" borderId="1" xfId="0" applyFont="1" applyBorder="1" applyAlignment="1">
      <alignment wrapText="1"/>
    </xf>
    <xf numFmtId="0" fontId="1" fillId="9" borderId="13" xfId="0" applyFont="1" applyFill="1" applyBorder="1" applyAlignment="1">
      <alignment horizontal="center" wrapText="1"/>
    </xf>
    <xf numFmtId="0" fontId="0" fillId="0" borderId="4" xfId="0" applyBorder="1"/>
    <xf numFmtId="0" fontId="0" fillId="4" borderId="13" xfId="0" applyFill="1" applyBorder="1"/>
    <xf numFmtId="0" fontId="0" fillId="0" borderId="13" xfId="0" applyBorder="1"/>
    <xf numFmtId="164" fontId="0" fillId="0" borderId="13" xfId="0" applyNumberFormat="1" applyBorder="1"/>
    <xf numFmtId="14" fontId="0" fillId="0" borderId="13" xfId="0" applyNumberFormat="1" applyBorder="1"/>
    <xf numFmtId="0" fontId="0" fillId="0" borderId="13" xfId="0" applyBorder="1" applyAlignment="1">
      <alignment wrapText="1"/>
    </xf>
    <xf numFmtId="0" fontId="0" fillId="0" borderId="5" xfId="0" applyBorder="1" applyAlignment="1">
      <alignment wrapText="1"/>
    </xf>
    <xf numFmtId="0" fontId="3" fillId="3" borderId="17" xfId="1" quotePrefix="1" applyBorder="1"/>
    <xf numFmtId="0" fontId="3" fillId="3" borderId="18" xfId="1" applyBorder="1" applyAlignment="1">
      <alignment wrapText="1"/>
    </xf>
    <xf numFmtId="0" fontId="3" fillId="3" borderId="18" xfId="1" applyBorder="1" applyAlignment="1">
      <alignment vertical="center"/>
    </xf>
    <xf numFmtId="0" fontId="3" fillId="3" borderId="18" xfId="1" applyBorder="1"/>
    <xf numFmtId="14" fontId="3" fillId="3" borderId="18" xfId="1" applyNumberFormat="1" applyBorder="1"/>
    <xf numFmtId="0" fontId="3" fillId="3" borderId="19" xfId="1" applyBorder="1"/>
    <xf numFmtId="0" fontId="1" fillId="2" borderId="8" xfId="0" applyFont="1" applyFill="1" applyBorder="1" applyAlignment="1"/>
    <xf numFmtId="0" fontId="1" fillId="2" borderId="14" xfId="0" applyFont="1" applyFill="1" applyBorder="1" applyAlignment="1"/>
    <xf numFmtId="0" fontId="1" fillId="2" borderId="9" xfId="0" applyFont="1" applyFill="1" applyBorder="1" applyAlignment="1"/>
    <xf numFmtId="0" fontId="0" fillId="10" borderId="1" xfId="0" applyFill="1" applyBorder="1"/>
    <xf numFmtId="0" fontId="0" fillId="10" borderId="1" xfId="0" applyFill="1" applyBorder="1" applyAlignment="1">
      <alignment vertical="center"/>
    </xf>
    <xf numFmtId="0" fontId="1" fillId="9" borderId="4" xfId="0" applyFont="1" applyFill="1" applyBorder="1" applyAlignment="1">
      <alignment horizontal="center" vertical="center"/>
    </xf>
    <xf numFmtId="0" fontId="1" fillId="9" borderId="13" xfId="0" applyFont="1" applyFill="1" applyBorder="1" applyAlignment="1">
      <alignment horizontal="center" vertical="center"/>
    </xf>
    <xf numFmtId="0" fontId="1" fillId="9" borderId="5" xfId="0" applyFont="1" applyFill="1" applyBorder="1" applyAlignment="1">
      <alignment horizontal="center" vertical="center"/>
    </xf>
    <xf numFmtId="14" fontId="0" fillId="0" borderId="6" xfId="0" applyNumberFormat="1" applyBorder="1"/>
    <xf numFmtId="9" fontId="0" fillId="0" borderId="7" xfId="0" applyNumberFormat="1" applyBorder="1"/>
    <xf numFmtId="14" fontId="0" fillId="0" borderId="6" xfId="0" applyNumberFormat="1" applyBorder="1" applyAlignment="1">
      <alignment horizontal="right"/>
    </xf>
    <xf numFmtId="2" fontId="0" fillId="0" borderId="14" xfId="0" applyNumberFormat="1" applyBorder="1"/>
    <xf numFmtId="9" fontId="0" fillId="0" borderId="9" xfId="0" applyNumberFormat="1" applyBorder="1"/>
    <xf numFmtId="0" fontId="0" fillId="0" borderId="1" xfId="0" applyBorder="1" applyAlignment="1">
      <alignment horizontal="right"/>
    </xf>
    <xf numFmtId="0" fontId="1" fillId="9" borderId="16" xfId="0" applyFont="1" applyFill="1" applyBorder="1" applyAlignment="1">
      <alignment horizontal="center" vertical="center" wrapText="1"/>
    </xf>
    <xf numFmtId="0" fontId="0" fillId="0" borderId="8" xfId="0" applyBorder="1" applyAlignment="1">
      <alignment horizontal="right"/>
    </xf>
    <xf numFmtId="0" fontId="2" fillId="0" borderId="1" xfId="0" applyFont="1" applyBorder="1" applyAlignment="1">
      <alignment horizontal="center" vertical="center" wrapText="1"/>
    </xf>
    <xf numFmtId="0" fontId="0" fillId="0" borderId="1" xfId="0" applyBorder="1" applyAlignment="1">
      <alignment vertical="center" wrapText="1"/>
    </xf>
    <xf numFmtId="9" fontId="2" fillId="0" borderId="1" xfId="0" applyNumberFormat="1" applyFont="1" applyBorder="1" applyAlignment="1">
      <alignment vertical="center" wrapText="1"/>
    </xf>
    <xf numFmtId="0" fontId="5" fillId="0" borderId="1" xfId="0" applyFont="1" applyBorder="1" applyAlignment="1">
      <alignment vertical="center" wrapText="1"/>
    </xf>
    <xf numFmtId="0" fontId="1" fillId="9" borderId="1" xfId="0" applyFont="1" applyFill="1" applyBorder="1" applyAlignment="1">
      <alignment horizontal="center" vertical="center" wrapText="1"/>
    </xf>
    <xf numFmtId="0" fontId="1" fillId="9" borderId="1" xfId="0" applyFont="1" applyFill="1" applyBorder="1" applyAlignment="1">
      <alignment horizontal="center" vertical="center"/>
    </xf>
    <xf numFmtId="0" fontId="0" fillId="0" borderId="1" xfId="0" applyFill="1" applyBorder="1"/>
    <xf numFmtId="0" fontId="0" fillId="0" borderId="1" xfId="0" applyFill="1" applyBorder="1" applyAlignment="1">
      <alignment wrapText="1"/>
    </xf>
    <xf numFmtId="0" fontId="0" fillId="0" borderId="1" xfId="0" applyBorder="1" applyAlignment="1">
      <alignment horizontal="center"/>
    </xf>
  </cellXfs>
  <cellStyles count="2">
    <cellStyle name="Calcul" xfId="1" builtinId="22"/>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Portfolio</a:t>
            </a:r>
            <a:r>
              <a:rPr lang="fr-FR" baseline="0"/>
              <a:t> evolution (Blue) </a:t>
            </a:r>
          </a:p>
          <a:p>
            <a:pPr>
              <a:defRPr/>
            </a:pPr>
            <a:r>
              <a:rPr lang="fr-FR" baseline="0"/>
              <a:t>% period change (Orange)</a:t>
            </a:r>
            <a:endParaRPr lang="fr-FR"/>
          </a:p>
        </c:rich>
      </c:tx>
      <c:layout>
        <c:manualLayout>
          <c:xMode val="edge"/>
          <c:yMode val="edge"/>
          <c:x val="0.29897222222222219"/>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Full_transac!$L$14:$L$25</c:f>
              <c:strCache>
                <c:ptCount val="12"/>
                <c:pt idx="0">
                  <c:v>07/01/2025</c:v>
                </c:pt>
                <c:pt idx="1">
                  <c:v>08/02/2025</c:v>
                </c:pt>
                <c:pt idx="2">
                  <c:v>03/03/2025</c:v>
                </c:pt>
                <c:pt idx="3">
                  <c:v>29/03/2025</c:v>
                </c:pt>
                <c:pt idx="4">
                  <c:v>15/04/2025</c:v>
                </c:pt>
                <c:pt idx="5">
                  <c:v>31/05/2025</c:v>
                </c:pt>
                <c:pt idx="6">
                  <c:v>31/06/2025</c:v>
                </c:pt>
                <c:pt idx="7">
                  <c:v>31/07/2025</c:v>
                </c:pt>
                <c:pt idx="8">
                  <c:v>04/08/2025</c:v>
                </c:pt>
                <c:pt idx="9">
                  <c:v>30/08/2025</c:v>
                </c:pt>
                <c:pt idx="10">
                  <c:v>26/09/2025</c:v>
                </c:pt>
                <c:pt idx="11">
                  <c:v>Today</c:v>
                </c:pt>
              </c:strCache>
            </c:strRef>
          </c:cat>
          <c:val>
            <c:numRef>
              <c:f>Full_transac!$M$14:$M$25</c:f>
              <c:numCache>
                <c:formatCode>General</c:formatCode>
                <c:ptCount val="12"/>
                <c:pt idx="0">
                  <c:v>1000</c:v>
                </c:pt>
                <c:pt idx="1">
                  <c:v>1163.491</c:v>
                </c:pt>
                <c:pt idx="2">
                  <c:v>1799.32</c:v>
                </c:pt>
                <c:pt idx="3">
                  <c:v>2286.44</c:v>
                </c:pt>
                <c:pt idx="4">
                  <c:v>3436.0000000000005</c:v>
                </c:pt>
                <c:pt idx="5" formatCode="0.00">
                  <c:v>5108.8150000000005</c:v>
                </c:pt>
                <c:pt idx="6" formatCode="0.00">
                  <c:v>3679.5349999999999</c:v>
                </c:pt>
                <c:pt idx="7" formatCode="0.00">
                  <c:v>4518.9030000000002</c:v>
                </c:pt>
                <c:pt idx="8" formatCode="0.00">
                  <c:v>5639.2020000000002</c:v>
                </c:pt>
                <c:pt idx="9" formatCode="0.00">
                  <c:v>8026.08</c:v>
                </c:pt>
                <c:pt idx="10" formatCode="0.00">
                  <c:v>12605.744999999999</c:v>
                </c:pt>
                <c:pt idx="11" formatCode="0.00">
                  <c:v>14041.63</c:v>
                </c:pt>
              </c:numCache>
            </c:numRef>
          </c:val>
          <c:extLst>
            <c:ext xmlns:c16="http://schemas.microsoft.com/office/drawing/2014/chart" uri="{C3380CC4-5D6E-409C-BE32-E72D297353CC}">
              <c16:uniqueId val="{00000000-DF44-4F92-BF23-B7266920F548}"/>
            </c:ext>
          </c:extLst>
        </c:ser>
        <c:dLbls>
          <c:showLegendKey val="0"/>
          <c:showVal val="0"/>
          <c:showCatName val="0"/>
          <c:showSerName val="0"/>
          <c:showPercent val="0"/>
          <c:showBubbleSize val="0"/>
        </c:dLbls>
        <c:gapWidth val="219"/>
        <c:overlap val="-27"/>
        <c:axId val="1863126656"/>
        <c:axId val="113062224"/>
      </c:barChart>
      <c:lineChart>
        <c:grouping val="standard"/>
        <c:varyColors val="0"/>
        <c:ser>
          <c:idx val="1"/>
          <c:order val="1"/>
          <c:spPr>
            <a:ln w="28575" cap="rnd">
              <a:solidFill>
                <a:schemeClr val="accent2"/>
              </a:solidFill>
              <a:round/>
            </a:ln>
            <a:effectLst/>
          </c:spPr>
          <c:marker>
            <c:symbol val="none"/>
          </c:marker>
          <c:cat>
            <c:strRef>
              <c:f>Full_transac!$L$14:$L$25</c:f>
              <c:strCache>
                <c:ptCount val="12"/>
                <c:pt idx="0">
                  <c:v>07/01/2025</c:v>
                </c:pt>
                <c:pt idx="1">
                  <c:v>08/02/2025</c:v>
                </c:pt>
                <c:pt idx="2">
                  <c:v>03/03/2025</c:v>
                </c:pt>
                <c:pt idx="3">
                  <c:v>29/03/2025</c:v>
                </c:pt>
                <c:pt idx="4">
                  <c:v>15/04/2025</c:v>
                </c:pt>
                <c:pt idx="5">
                  <c:v>31/05/2025</c:v>
                </c:pt>
                <c:pt idx="6">
                  <c:v>31/06/2025</c:v>
                </c:pt>
                <c:pt idx="7">
                  <c:v>31/07/2025</c:v>
                </c:pt>
                <c:pt idx="8">
                  <c:v>04/08/2025</c:v>
                </c:pt>
                <c:pt idx="9">
                  <c:v>30/08/2025</c:v>
                </c:pt>
                <c:pt idx="10">
                  <c:v>26/09/2025</c:v>
                </c:pt>
                <c:pt idx="11">
                  <c:v>Today</c:v>
                </c:pt>
              </c:strCache>
            </c:strRef>
          </c:cat>
          <c:val>
            <c:numRef>
              <c:f>Full_transac!$N$14:$N$25</c:f>
              <c:numCache>
                <c:formatCode>0%</c:formatCode>
                <c:ptCount val="12"/>
                <c:pt idx="0">
                  <c:v>0</c:v>
                </c:pt>
                <c:pt idx="1">
                  <c:v>0.22472736842105268</c:v>
                </c:pt>
                <c:pt idx="2">
                  <c:v>0.61592684628793593</c:v>
                </c:pt>
                <c:pt idx="3">
                  <c:v>0.3070450232090185</c:v>
                </c:pt>
                <c:pt idx="4">
                  <c:v>0.53637030280266873</c:v>
                </c:pt>
                <c:pt idx="5">
                  <c:v>0.50880537507383328</c:v>
                </c:pt>
                <c:pt idx="6">
                  <c:v>-0.27264883179163513</c:v>
                </c:pt>
                <c:pt idx="7">
                  <c:v>0.24503634763130822</c:v>
                </c:pt>
                <c:pt idx="8">
                  <c:v>0.2618761248565924</c:v>
                </c:pt>
                <c:pt idx="9">
                  <c:v>0.43599748228816915</c:v>
                </c:pt>
                <c:pt idx="10">
                  <c:v>0.58044365151803889</c:v>
                </c:pt>
                <c:pt idx="11">
                  <c:v>0.11834303739045349</c:v>
                </c:pt>
              </c:numCache>
            </c:numRef>
          </c:val>
          <c:smooth val="0"/>
          <c:extLst>
            <c:ext xmlns:c16="http://schemas.microsoft.com/office/drawing/2014/chart" uri="{C3380CC4-5D6E-409C-BE32-E72D297353CC}">
              <c16:uniqueId val="{00000001-DF44-4F92-BF23-B7266920F548}"/>
            </c:ext>
          </c:extLst>
        </c:ser>
        <c:dLbls>
          <c:showLegendKey val="0"/>
          <c:showVal val="0"/>
          <c:showCatName val="0"/>
          <c:showSerName val="0"/>
          <c:showPercent val="0"/>
          <c:showBubbleSize val="0"/>
        </c:dLbls>
        <c:marker val="1"/>
        <c:smooth val="0"/>
        <c:axId val="1863125056"/>
        <c:axId val="113057232"/>
      </c:lineChart>
      <c:catAx>
        <c:axId val="186312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3062224"/>
        <c:crosses val="autoZero"/>
        <c:auto val="1"/>
        <c:lblAlgn val="ctr"/>
        <c:lblOffset val="100"/>
        <c:noMultiLvlLbl val="0"/>
      </c:catAx>
      <c:valAx>
        <c:axId val="11306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3126656"/>
        <c:crosses val="autoZero"/>
        <c:crossBetween val="between"/>
      </c:valAx>
      <c:valAx>
        <c:axId val="11305723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3125056"/>
        <c:crosses val="max"/>
        <c:crossBetween val="between"/>
      </c:valAx>
      <c:catAx>
        <c:axId val="1863125056"/>
        <c:scaling>
          <c:orientation val="minMax"/>
        </c:scaling>
        <c:delete val="1"/>
        <c:axPos val="b"/>
        <c:numFmt formatCode="General" sourceLinked="1"/>
        <c:majorTickMark val="none"/>
        <c:minorTickMark val="none"/>
        <c:tickLblPos val="nextTo"/>
        <c:crossAx val="1130572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114299</xdr:colOff>
      <xdr:row>72</xdr:row>
      <xdr:rowOff>152400</xdr:rowOff>
    </xdr:from>
    <xdr:to>
      <xdr:col>2</xdr:col>
      <xdr:colOff>390525</xdr:colOff>
      <xdr:row>76</xdr:row>
      <xdr:rowOff>133483</xdr:rowOff>
    </xdr:to>
    <xdr:pic>
      <xdr:nvPicPr>
        <xdr:cNvPr id="2" name="Image 1">
          <a:extLst>
            <a:ext uri="{FF2B5EF4-FFF2-40B4-BE49-F238E27FC236}">
              <a16:creationId xmlns:a16="http://schemas.microsoft.com/office/drawing/2014/main" id="{DD8003BF-07C9-405D-B0FE-79B83EFA453D}"/>
            </a:ext>
          </a:extLst>
        </xdr:cNvPr>
        <xdr:cNvPicPr>
          <a:picLocks noChangeAspect="1"/>
        </xdr:cNvPicPr>
      </xdr:nvPicPr>
      <xdr:blipFill rotWithShape="1">
        <a:blip xmlns:r="http://schemas.openxmlformats.org/officeDocument/2006/relationships" r:embed="rId1"/>
        <a:srcRect l="29826" r="18477"/>
        <a:stretch/>
      </xdr:blipFill>
      <xdr:spPr>
        <a:xfrm>
          <a:off x="1285874" y="13868400"/>
          <a:ext cx="1733551" cy="952633"/>
        </a:xfrm>
        <a:prstGeom prst="rect">
          <a:avLst/>
        </a:prstGeom>
      </xdr:spPr>
    </xdr:pic>
    <xdr:clientData/>
  </xdr:twoCellAnchor>
  <xdr:twoCellAnchor>
    <xdr:from>
      <xdr:col>12</xdr:col>
      <xdr:colOff>857250</xdr:colOff>
      <xdr:row>37</xdr:row>
      <xdr:rowOff>97290</xdr:rowOff>
    </xdr:from>
    <xdr:to>
      <xdr:col>14</xdr:col>
      <xdr:colOff>285750</xdr:colOff>
      <xdr:row>51</xdr:row>
      <xdr:rowOff>159883</xdr:rowOff>
    </xdr:to>
    <xdr:graphicFrame macro="">
      <xdr:nvGraphicFramePr>
        <xdr:cNvPr id="3" name="Graphique 2">
          <a:extLst>
            <a:ext uri="{FF2B5EF4-FFF2-40B4-BE49-F238E27FC236}">
              <a16:creationId xmlns:a16="http://schemas.microsoft.com/office/drawing/2014/main" id="{700ADC97-E8B3-408A-AB67-7E6152630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ycharts.com/indices/%5EHUI?utm_source=chatgpt.com" TargetMode="External"/><Relationship Id="rId2" Type="http://schemas.openxmlformats.org/officeDocument/2006/relationships/hyperlink" Target="https://stockanalysis.com/etf/silj/?utm_source=chatgpt.com" TargetMode="External"/><Relationship Id="rId1" Type="http://schemas.openxmlformats.org/officeDocument/2006/relationships/hyperlink" Target="https://ycharts.com/indices/%5EHUI?utm_source=chatgpt.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1E7F7-DC75-4876-9208-73E291EA492D}">
  <dimension ref="A1:Q92"/>
  <sheetViews>
    <sheetView tabSelected="1" zoomScale="70" zoomScaleNormal="70" workbookViewId="0">
      <selection activeCell="K17" sqref="K17"/>
    </sheetView>
  </sheetViews>
  <sheetFormatPr baseColWidth="10" defaultRowHeight="15" x14ac:dyDescent="0.25"/>
  <cols>
    <col min="1" max="1" width="17.5703125" customWidth="1"/>
    <col min="2" max="2" width="21.85546875" customWidth="1"/>
    <col min="3" max="3" width="14.85546875" customWidth="1"/>
    <col min="4" max="4" width="16.28515625" customWidth="1"/>
    <col min="5" max="5" width="14.7109375" customWidth="1"/>
    <col min="6" max="6" width="18.5703125" customWidth="1"/>
    <col min="7" max="7" width="61" style="1" customWidth="1"/>
    <col min="9" max="9" width="15.85546875" customWidth="1"/>
    <col min="12" max="12" width="14.140625" customWidth="1"/>
    <col min="13" max="13" width="65.7109375" customWidth="1"/>
    <col min="14" max="14" width="11.42578125" customWidth="1"/>
    <col min="15" max="15" width="23.28515625" customWidth="1"/>
  </cols>
  <sheetData>
    <row r="1" spans="1:17" ht="15" customHeight="1" x14ac:dyDescent="0.25">
      <c r="A1" s="21" t="s">
        <v>5</v>
      </c>
      <c r="B1" s="22" t="s">
        <v>6</v>
      </c>
      <c r="C1" s="22" t="s">
        <v>10</v>
      </c>
      <c r="D1" s="22" t="s">
        <v>11</v>
      </c>
      <c r="E1" s="22" t="s">
        <v>7</v>
      </c>
      <c r="F1" s="22" t="s">
        <v>88</v>
      </c>
      <c r="G1" s="36" t="s">
        <v>4</v>
      </c>
      <c r="H1" s="22" t="s">
        <v>129</v>
      </c>
      <c r="I1" s="23" t="s">
        <v>131</v>
      </c>
      <c r="L1" t="s">
        <v>29</v>
      </c>
      <c r="P1" t="s">
        <v>46</v>
      </c>
      <c r="Q1" t="s">
        <v>47</v>
      </c>
    </row>
    <row r="2" spans="1:17" ht="15" customHeight="1" thickBot="1" x14ac:dyDescent="0.3">
      <c r="A2" s="24" t="s">
        <v>24</v>
      </c>
      <c r="B2" s="53" t="s">
        <v>24</v>
      </c>
      <c r="C2" s="2">
        <v>1050</v>
      </c>
      <c r="D2" s="2">
        <v>1</v>
      </c>
      <c r="E2" s="16">
        <v>45663</v>
      </c>
      <c r="F2" s="2">
        <f t="shared" ref="F2:F9" si="0">C2*D2</f>
        <v>1050</v>
      </c>
      <c r="G2" s="34"/>
      <c r="H2" s="2" t="s">
        <v>130</v>
      </c>
      <c r="I2" s="26" t="s">
        <v>1</v>
      </c>
    </row>
    <row r="3" spans="1:17" ht="15" customHeight="1" thickBot="1" x14ac:dyDescent="0.3">
      <c r="A3" s="24" t="s">
        <v>104</v>
      </c>
      <c r="B3" s="6" t="s">
        <v>124</v>
      </c>
      <c r="C3" s="2">
        <v>10</v>
      </c>
      <c r="D3" s="2">
        <v>99.98</v>
      </c>
      <c r="E3" s="16">
        <v>45664</v>
      </c>
      <c r="F3" s="2">
        <f t="shared" si="0"/>
        <v>999.80000000000007</v>
      </c>
      <c r="G3" s="3" t="s">
        <v>110</v>
      </c>
      <c r="H3" s="2" t="s">
        <v>130</v>
      </c>
      <c r="I3" s="26" t="s">
        <v>132</v>
      </c>
      <c r="L3" s="12" t="s">
        <v>128</v>
      </c>
      <c r="M3" s="9" t="s">
        <v>113</v>
      </c>
    </row>
    <row r="4" spans="1:17" ht="15" customHeight="1" thickBot="1" x14ac:dyDescent="0.3">
      <c r="A4" s="24" t="s">
        <v>24</v>
      </c>
      <c r="B4" s="53" t="s">
        <v>24</v>
      </c>
      <c r="C4" s="2">
        <v>45</v>
      </c>
      <c r="D4" s="2">
        <v>1</v>
      </c>
      <c r="E4" s="16">
        <v>45664</v>
      </c>
      <c r="F4" s="2">
        <f t="shared" si="0"/>
        <v>45</v>
      </c>
      <c r="G4" s="34"/>
      <c r="H4" s="2" t="s">
        <v>130</v>
      </c>
      <c r="I4" s="26" t="s">
        <v>1</v>
      </c>
      <c r="L4" s="13" t="s">
        <v>127</v>
      </c>
      <c r="M4" s="10" t="s">
        <v>54</v>
      </c>
    </row>
    <row r="5" spans="1:17" ht="15" customHeight="1" thickBot="1" x14ac:dyDescent="0.3">
      <c r="A5" s="24" t="s">
        <v>104</v>
      </c>
      <c r="B5" s="6" t="s">
        <v>124</v>
      </c>
      <c r="C5" s="2">
        <v>10</v>
      </c>
      <c r="D5" s="2">
        <v>109.5</v>
      </c>
      <c r="E5" s="16">
        <v>45693</v>
      </c>
      <c r="F5" s="2">
        <f t="shared" si="0"/>
        <v>1095</v>
      </c>
      <c r="G5" s="3" t="s">
        <v>149</v>
      </c>
      <c r="H5" s="2" t="s">
        <v>130</v>
      </c>
      <c r="I5" s="26" t="s">
        <v>132</v>
      </c>
      <c r="L5" s="14" t="s">
        <v>126</v>
      </c>
      <c r="M5" s="10" t="s">
        <v>34</v>
      </c>
    </row>
    <row r="6" spans="1:17" ht="15" customHeight="1" thickBot="1" x14ac:dyDescent="0.3">
      <c r="A6" s="24" t="s">
        <v>24</v>
      </c>
      <c r="B6" s="53" t="s">
        <v>24</v>
      </c>
      <c r="C6" s="2">
        <v>39.07</v>
      </c>
      <c r="D6" s="2">
        <v>1</v>
      </c>
      <c r="E6" s="16">
        <v>45693</v>
      </c>
      <c r="F6" s="2">
        <f t="shared" ref="F6" si="1">C6*D6</f>
        <v>39.07</v>
      </c>
      <c r="G6" s="34"/>
      <c r="H6" s="2" t="s">
        <v>130</v>
      </c>
      <c r="I6" s="26" t="s">
        <v>1</v>
      </c>
      <c r="L6" s="15" t="s">
        <v>125</v>
      </c>
      <c r="M6" s="11" t="s">
        <v>150</v>
      </c>
    </row>
    <row r="7" spans="1:17" ht="15" customHeight="1" thickBot="1" x14ac:dyDescent="0.3">
      <c r="A7" s="24" t="s">
        <v>104</v>
      </c>
      <c r="B7" s="5" t="s">
        <v>112</v>
      </c>
      <c r="C7" s="2">
        <v>1000</v>
      </c>
      <c r="D7" s="2">
        <v>0.72</v>
      </c>
      <c r="E7" s="16">
        <v>45696</v>
      </c>
      <c r="F7" s="2">
        <f t="shared" si="0"/>
        <v>720</v>
      </c>
      <c r="G7" s="3" t="s">
        <v>118</v>
      </c>
      <c r="H7" s="16" t="s">
        <v>134</v>
      </c>
      <c r="I7" s="25" t="s">
        <v>151</v>
      </c>
      <c r="L7" s="31" t="s">
        <v>116</v>
      </c>
      <c r="M7" s="30" t="s">
        <v>117</v>
      </c>
    </row>
    <row r="8" spans="1:17" ht="15" customHeight="1" x14ac:dyDescent="0.25">
      <c r="A8" s="24" t="s">
        <v>104</v>
      </c>
      <c r="B8" s="5" t="s">
        <v>114</v>
      </c>
      <c r="C8" s="2">
        <v>1</v>
      </c>
      <c r="D8" s="2">
        <v>300</v>
      </c>
      <c r="E8" s="16">
        <v>45696</v>
      </c>
      <c r="F8" s="2">
        <f t="shared" si="0"/>
        <v>300</v>
      </c>
      <c r="G8" s="3" t="s">
        <v>119</v>
      </c>
      <c r="H8" s="16" t="s">
        <v>134</v>
      </c>
      <c r="I8" s="25" t="s">
        <v>151</v>
      </c>
    </row>
    <row r="9" spans="1:17" ht="15" customHeight="1" x14ac:dyDescent="0.25">
      <c r="A9" s="24" t="s">
        <v>104</v>
      </c>
      <c r="B9" s="6" t="s">
        <v>15</v>
      </c>
      <c r="C9" s="2">
        <v>1</v>
      </c>
      <c r="D9" s="2">
        <v>111.831</v>
      </c>
      <c r="E9" s="16">
        <v>45696</v>
      </c>
      <c r="F9" s="2">
        <f t="shared" si="0"/>
        <v>111.831</v>
      </c>
      <c r="G9" s="3" t="s">
        <v>115</v>
      </c>
      <c r="H9" s="2" t="s">
        <v>130</v>
      </c>
      <c r="I9" s="26" t="s">
        <v>132</v>
      </c>
      <c r="L9" t="s">
        <v>207</v>
      </c>
      <c r="N9" t="s">
        <v>210</v>
      </c>
      <c r="O9" s="33"/>
    </row>
    <row r="10" spans="1:17" ht="15" customHeight="1" x14ac:dyDescent="0.25">
      <c r="A10" s="24" t="s">
        <v>24</v>
      </c>
      <c r="B10" s="53" t="s">
        <v>24</v>
      </c>
      <c r="C10" s="2">
        <v>31.66</v>
      </c>
      <c r="D10" s="2">
        <v>1</v>
      </c>
      <c r="E10" s="16">
        <v>45696</v>
      </c>
      <c r="F10" s="2">
        <f t="shared" ref="F10:F15" si="2">C10*D10</f>
        <v>31.66</v>
      </c>
      <c r="G10" s="34"/>
      <c r="H10" s="2" t="s">
        <v>130</v>
      </c>
      <c r="I10" s="26" t="s">
        <v>1</v>
      </c>
      <c r="L10" t="s">
        <v>208</v>
      </c>
      <c r="N10" t="s">
        <v>211</v>
      </c>
    </row>
    <row r="11" spans="1:17" ht="15" customHeight="1" x14ac:dyDescent="0.25">
      <c r="A11" s="24" t="s">
        <v>24</v>
      </c>
      <c r="B11" s="53" t="s">
        <v>24</v>
      </c>
      <c r="C11" s="2">
        <v>1613.491</v>
      </c>
      <c r="D11" s="2">
        <v>1</v>
      </c>
      <c r="E11" s="16">
        <v>45719</v>
      </c>
      <c r="F11" s="2">
        <f t="shared" si="2"/>
        <v>1613.491</v>
      </c>
      <c r="G11" s="34"/>
      <c r="H11" s="2" t="s">
        <v>130</v>
      </c>
      <c r="I11" s="26" t="s">
        <v>1</v>
      </c>
      <c r="L11" t="s">
        <v>209</v>
      </c>
      <c r="M11" s="33"/>
    </row>
    <row r="12" spans="1:17" ht="15" customHeight="1" thickBot="1" x14ac:dyDescent="0.3">
      <c r="A12" s="24" t="s">
        <v>104</v>
      </c>
      <c r="B12" s="7" t="s">
        <v>120</v>
      </c>
      <c r="C12" s="2">
        <v>3000</v>
      </c>
      <c r="D12" s="2">
        <v>8.8999999999999996E-2</v>
      </c>
      <c r="E12" s="16">
        <v>45720</v>
      </c>
      <c r="F12" s="2">
        <f t="shared" si="2"/>
        <v>267</v>
      </c>
      <c r="G12" s="3" t="s">
        <v>121</v>
      </c>
      <c r="H12" s="16" t="s">
        <v>130</v>
      </c>
      <c r="I12" s="26" t="s">
        <v>132</v>
      </c>
    </row>
    <row r="13" spans="1:17" ht="15" customHeight="1" x14ac:dyDescent="0.25">
      <c r="A13" s="24" t="s">
        <v>104</v>
      </c>
      <c r="B13" s="7" t="s">
        <v>122</v>
      </c>
      <c r="C13" s="2">
        <v>160</v>
      </c>
      <c r="D13" s="2">
        <v>8.5</v>
      </c>
      <c r="E13" s="16">
        <v>45720</v>
      </c>
      <c r="F13" s="2">
        <f t="shared" si="2"/>
        <v>1360</v>
      </c>
      <c r="G13" s="3" t="s">
        <v>123</v>
      </c>
      <c r="H13" s="16" t="s">
        <v>130</v>
      </c>
      <c r="I13" s="26" t="s">
        <v>132</v>
      </c>
      <c r="L13" s="55" t="s">
        <v>7</v>
      </c>
      <c r="M13" s="56" t="s">
        <v>153</v>
      </c>
      <c r="N13" s="57" t="s">
        <v>148</v>
      </c>
      <c r="O13" s="64" t="s">
        <v>152</v>
      </c>
    </row>
    <row r="14" spans="1:17" ht="15" customHeight="1" x14ac:dyDescent="0.25">
      <c r="A14" s="24" t="s">
        <v>24</v>
      </c>
      <c r="B14" s="53" t="s">
        <v>24</v>
      </c>
      <c r="C14" s="2">
        <v>172.32</v>
      </c>
      <c r="D14" s="2">
        <v>1</v>
      </c>
      <c r="E14" s="16">
        <v>45720</v>
      </c>
      <c r="F14" s="2">
        <f t="shared" si="2"/>
        <v>172.32</v>
      </c>
      <c r="G14" s="34"/>
      <c r="H14" s="2" t="s">
        <v>130</v>
      </c>
      <c r="I14" s="26" t="s">
        <v>1</v>
      </c>
      <c r="K14" t="s">
        <v>244</v>
      </c>
      <c r="L14" s="58">
        <v>45664</v>
      </c>
      <c r="M14" s="63">
        <v>1000</v>
      </c>
      <c r="N14" s="59">
        <v>0</v>
      </c>
      <c r="O14" s="59">
        <v>1</v>
      </c>
    </row>
    <row r="15" spans="1:17" ht="15" customHeight="1" x14ac:dyDescent="0.25">
      <c r="A15" s="24" t="s">
        <v>104</v>
      </c>
      <c r="B15" s="5" t="s">
        <v>108</v>
      </c>
      <c r="C15" s="2">
        <v>3500</v>
      </c>
      <c r="D15" s="2">
        <v>0.11</v>
      </c>
      <c r="E15" s="16">
        <v>45745</v>
      </c>
      <c r="F15" s="2">
        <f t="shared" si="2"/>
        <v>385</v>
      </c>
      <c r="G15" s="3" t="s">
        <v>109</v>
      </c>
      <c r="H15" s="2" t="s">
        <v>147</v>
      </c>
      <c r="I15" s="26" t="s">
        <v>137</v>
      </c>
      <c r="L15" s="58">
        <v>45696</v>
      </c>
      <c r="M15" s="2">
        <f>SUM(F7:F10)</f>
        <v>1163.491</v>
      </c>
      <c r="N15" s="59">
        <f>((M15/(M14-50))-1)</f>
        <v>0.22472736842105268</v>
      </c>
      <c r="O15" s="59">
        <f>M15/1000</f>
        <v>1.1634910000000001</v>
      </c>
    </row>
    <row r="16" spans="1:17" ht="15" customHeight="1" x14ac:dyDescent="0.25">
      <c r="A16" s="24" t="s">
        <v>24</v>
      </c>
      <c r="B16" s="53" t="s">
        <v>24</v>
      </c>
      <c r="C16" s="2">
        <v>172.32</v>
      </c>
      <c r="D16" s="2">
        <v>1</v>
      </c>
      <c r="E16" s="16">
        <v>45745</v>
      </c>
      <c r="F16" s="2">
        <v>1901.44</v>
      </c>
      <c r="G16" s="34"/>
      <c r="H16" s="2" t="s">
        <v>136</v>
      </c>
      <c r="I16" s="26" t="s">
        <v>133</v>
      </c>
      <c r="L16" s="58">
        <v>45719</v>
      </c>
      <c r="M16" s="2">
        <f>SUM(F12:F14)</f>
        <v>1799.32</v>
      </c>
      <c r="N16" s="59">
        <f>((M16/(M15-50))-1)</f>
        <v>0.61592684628793593</v>
      </c>
      <c r="O16" s="59">
        <f t="shared" ref="O16:O25" si="3">M16/1000</f>
        <v>1.79932</v>
      </c>
    </row>
    <row r="17" spans="1:15" ht="15" customHeight="1" x14ac:dyDescent="0.25">
      <c r="A17" s="24" t="s">
        <v>104</v>
      </c>
      <c r="B17" s="8" t="s">
        <v>111</v>
      </c>
      <c r="C17" s="2">
        <v>3000</v>
      </c>
      <c r="D17" s="2">
        <v>0.09</v>
      </c>
      <c r="E17" s="16">
        <v>45762</v>
      </c>
      <c r="F17" s="2">
        <f>C17*D17</f>
        <v>270</v>
      </c>
      <c r="G17" s="3" t="s">
        <v>144</v>
      </c>
      <c r="H17" s="2" t="s">
        <v>136</v>
      </c>
      <c r="I17" s="25" t="s">
        <v>138</v>
      </c>
      <c r="L17" s="58">
        <v>45745</v>
      </c>
      <c r="M17" s="2">
        <f>SUM(F15:F16)</f>
        <v>2286.44</v>
      </c>
      <c r="N17" s="59">
        <f t="shared" ref="N17:N24" si="4">((M17/(M16-50))-1)</f>
        <v>0.3070450232090185</v>
      </c>
      <c r="O17" s="59">
        <f t="shared" si="3"/>
        <v>2.2864400000000002</v>
      </c>
    </row>
    <row r="18" spans="1:15" ht="15" customHeight="1" x14ac:dyDescent="0.25">
      <c r="A18" s="24" t="s">
        <v>104</v>
      </c>
      <c r="B18" s="8" t="s">
        <v>135</v>
      </c>
      <c r="C18" s="2">
        <v>1500</v>
      </c>
      <c r="D18" s="2">
        <v>0.23</v>
      </c>
      <c r="E18" s="16">
        <v>45762</v>
      </c>
      <c r="F18" s="2">
        <f>C18*D18</f>
        <v>345</v>
      </c>
      <c r="G18" s="3" t="s">
        <v>142</v>
      </c>
      <c r="H18" s="2" t="s">
        <v>136</v>
      </c>
      <c r="I18" s="25" t="s">
        <v>138</v>
      </c>
      <c r="L18" s="58">
        <v>45762</v>
      </c>
      <c r="M18" s="2">
        <f>SUM(F17:F22)</f>
        <v>3436.0000000000005</v>
      </c>
      <c r="N18" s="59">
        <f t="shared" si="4"/>
        <v>0.53637030280266873</v>
      </c>
      <c r="O18" s="59">
        <f t="shared" si="3"/>
        <v>3.4360000000000004</v>
      </c>
    </row>
    <row r="19" spans="1:15" ht="15" customHeight="1" x14ac:dyDescent="0.25">
      <c r="A19" s="24" t="s">
        <v>104</v>
      </c>
      <c r="B19" s="8" t="s">
        <v>139</v>
      </c>
      <c r="C19" s="2">
        <v>1860</v>
      </c>
      <c r="D19" s="2">
        <v>0.16</v>
      </c>
      <c r="E19" s="16">
        <v>45762</v>
      </c>
      <c r="F19" s="2">
        <f>C19*D19</f>
        <v>297.60000000000002</v>
      </c>
      <c r="G19" s="3" t="s">
        <v>143</v>
      </c>
      <c r="H19" s="2" t="s">
        <v>136</v>
      </c>
      <c r="I19" s="25" t="s">
        <v>138</v>
      </c>
      <c r="L19" s="58">
        <v>45808</v>
      </c>
      <c r="M19" s="4">
        <f>SUM(F25:F28)</f>
        <v>5108.8150000000005</v>
      </c>
      <c r="N19" s="59">
        <f t="shared" si="4"/>
        <v>0.50880537507383328</v>
      </c>
      <c r="O19" s="59">
        <f t="shared" si="3"/>
        <v>5.1088150000000008</v>
      </c>
    </row>
    <row r="20" spans="1:15" ht="15" customHeight="1" x14ac:dyDescent="0.25">
      <c r="A20" s="24" t="s">
        <v>104</v>
      </c>
      <c r="B20" s="8" t="s">
        <v>140</v>
      </c>
      <c r="C20" s="2">
        <v>900</v>
      </c>
      <c r="D20" s="2">
        <v>0.27</v>
      </c>
      <c r="E20" s="16">
        <v>45762</v>
      </c>
      <c r="F20" s="2">
        <f>C20*D20</f>
        <v>243.00000000000003</v>
      </c>
      <c r="G20" s="3" t="s">
        <v>141</v>
      </c>
      <c r="H20" s="2" t="s">
        <v>136</v>
      </c>
      <c r="I20" s="25" t="s">
        <v>138</v>
      </c>
      <c r="L20" s="60" t="s">
        <v>19</v>
      </c>
      <c r="M20" s="4">
        <f>SUM(F29:F33)</f>
        <v>3679.5349999999999</v>
      </c>
      <c r="N20" s="59">
        <f t="shared" si="4"/>
        <v>-0.27264883179163513</v>
      </c>
      <c r="O20" s="59">
        <f t="shared" si="3"/>
        <v>3.679535</v>
      </c>
    </row>
    <row r="21" spans="1:15" ht="15" customHeight="1" x14ac:dyDescent="0.25">
      <c r="A21" s="24" t="s">
        <v>104</v>
      </c>
      <c r="B21" s="6" t="s">
        <v>15</v>
      </c>
      <c r="C21" s="2">
        <v>20</v>
      </c>
      <c r="D21" s="2">
        <v>112.25</v>
      </c>
      <c r="E21" s="16">
        <v>45762</v>
      </c>
      <c r="F21" s="2">
        <f>C21*D21</f>
        <v>2245</v>
      </c>
      <c r="G21" s="3" t="s">
        <v>145</v>
      </c>
      <c r="H21" s="2" t="s">
        <v>130</v>
      </c>
      <c r="I21" s="26" t="s">
        <v>132</v>
      </c>
      <c r="L21" s="58">
        <v>45869</v>
      </c>
      <c r="M21" s="4">
        <f>SUM(F34:F39)</f>
        <v>4518.9030000000002</v>
      </c>
      <c r="N21" s="59">
        <f t="shared" si="4"/>
        <v>0.24503634763130822</v>
      </c>
      <c r="O21" s="59">
        <f t="shared" si="3"/>
        <v>4.5189029999999999</v>
      </c>
    </row>
    <row r="22" spans="1:15" ht="15" customHeight="1" x14ac:dyDescent="0.25">
      <c r="A22" s="24" t="s">
        <v>24</v>
      </c>
      <c r="B22" s="53" t="s">
        <v>24</v>
      </c>
      <c r="C22" s="2">
        <v>35.4</v>
      </c>
      <c r="D22" s="2">
        <v>1</v>
      </c>
      <c r="E22" s="16">
        <v>45762</v>
      </c>
      <c r="F22" s="2">
        <f t="shared" ref="F22:F71" si="5">C22*D22</f>
        <v>35.4</v>
      </c>
      <c r="G22" s="34"/>
      <c r="H22" s="2" t="s">
        <v>130</v>
      </c>
      <c r="I22" s="25" t="s">
        <v>1</v>
      </c>
      <c r="L22" s="58">
        <v>45873</v>
      </c>
      <c r="M22" s="4">
        <f>SUM(F40:F47)</f>
        <v>5639.2020000000002</v>
      </c>
      <c r="N22" s="59">
        <f t="shared" si="4"/>
        <v>0.2618761248565924</v>
      </c>
      <c r="O22" s="59">
        <f t="shared" si="3"/>
        <v>5.639202</v>
      </c>
    </row>
    <row r="23" spans="1:15" ht="15" customHeight="1" x14ac:dyDescent="0.25">
      <c r="A23" s="24" t="s">
        <v>24</v>
      </c>
      <c r="B23" s="53" t="s">
        <v>24</v>
      </c>
      <c r="C23" s="2">
        <v>5133.92</v>
      </c>
      <c r="D23" s="2">
        <v>1</v>
      </c>
      <c r="E23" s="16">
        <v>45797</v>
      </c>
      <c r="F23" s="2">
        <f t="shared" si="5"/>
        <v>5133.92</v>
      </c>
      <c r="G23" s="34"/>
      <c r="H23" s="2" t="s">
        <v>130</v>
      </c>
      <c r="I23" s="25" t="s">
        <v>1</v>
      </c>
      <c r="L23" s="58">
        <v>45899</v>
      </c>
      <c r="M23" s="4">
        <f>SUM(F48:F57)</f>
        <v>8026.08</v>
      </c>
      <c r="N23" s="59">
        <f t="shared" si="4"/>
        <v>0.43599748228816915</v>
      </c>
      <c r="O23" s="59">
        <f t="shared" si="3"/>
        <v>8.0260800000000003</v>
      </c>
    </row>
    <row r="24" spans="1:15" ht="15" customHeight="1" thickBot="1" x14ac:dyDescent="0.3">
      <c r="A24" s="32"/>
      <c r="B24" s="51"/>
      <c r="C24" s="51"/>
      <c r="D24" s="51"/>
      <c r="E24" s="51"/>
      <c r="F24" s="50" t="s">
        <v>146</v>
      </c>
      <c r="G24" s="51"/>
      <c r="H24" s="51"/>
      <c r="I24" s="52"/>
      <c r="L24" s="58">
        <v>45926</v>
      </c>
      <c r="M24" s="4">
        <f>SUM(F58:F71)</f>
        <v>12605.744999999999</v>
      </c>
      <c r="N24" s="59">
        <f t="shared" si="4"/>
        <v>0.58044365151803889</v>
      </c>
      <c r="O24" s="59">
        <f t="shared" si="3"/>
        <v>12.605744999999999</v>
      </c>
    </row>
    <row r="25" spans="1:15" ht="15" customHeight="1" thickBot="1" x14ac:dyDescent="0.3">
      <c r="A25" s="37" t="s">
        <v>8</v>
      </c>
      <c r="B25" s="38" t="s">
        <v>9</v>
      </c>
      <c r="C25" s="39">
        <v>54</v>
      </c>
      <c r="D25" s="40">
        <v>17.850000000000001</v>
      </c>
      <c r="E25" s="41">
        <v>45808</v>
      </c>
      <c r="F25" s="39">
        <f t="shared" si="5"/>
        <v>963.90000000000009</v>
      </c>
      <c r="G25" s="42" t="s">
        <v>55</v>
      </c>
      <c r="H25" s="39" t="s">
        <v>134</v>
      </c>
      <c r="I25" s="43" t="s">
        <v>138</v>
      </c>
      <c r="L25" s="65" t="s">
        <v>105</v>
      </c>
      <c r="M25" s="61">
        <v>14041.63</v>
      </c>
      <c r="N25" s="62">
        <f>((M25/(M24-50))-1)</f>
        <v>0.11834303739045349</v>
      </c>
      <c r="O25" s="62">
        <f t="shared" si="3"/>
        <v>14.04163</v>
      </c>
    </row>
    <row r="26" spans="1:15" ht="15" customHeight="1" x14ac:dyDescent="0.25">
      <c r="A26" s="24" t="s">
        <v>13</v>
      </c>
      <c r="B26" s="5" t="s">
        <v>16</v>
      </c>
      <c r="C26" s="2">
        <v>7936</v>
      </c>
      <c r="D26" s="2">
        <v>0.14299999999999999</v>
      </c>
      <c r="E26" s="16">
        <v>45808</v>
      </c>
      <c r="F26" s="2">
        <f t="shared" si="5"/>
        <v>1134.848</v>
      </c>
      <c r="G26" s="3" t="s">
        <v>55</v>
      </c>
      <c r="H26" s="16" t="s">
        <v>134</v>
      </c>
      <c r="I26" s="25" t="s">
        <v>138</v>
      </c>
    </row>
    <row r="27" spans="1:15" ht="15" customHeight="1" x14ac:dyDescent="0.25">
      <c r="A27" s="24" t="s">
        <v>14</v>
      </c>
      <c r="B27" s="6" t="s">
        <v>15</v>
      </c>
      <c r="C27" s="2">
        <v>21</v>
      </c>
      <c r="D27" s="2">
        <v>115.00700000000001</v>
      </c>
      <c r="E27" s="16">
        <v>45808</v>
      </c>
      <c r="F27" s="2">
        <f t="shared" si="5"/>
        <v>2415.1469999999999</v>
      </c>
      <c r="G27" s="3" t="s">
        <v>71</v>
      </c>
      <c r="H27" s="2" t="s">
        <v>130</v>
      </c>
      <c r="I27" s="25" t="s">
        <v>132</v>
      </c>
    </row>
    <row r="28" spans="1:15" ht="15" customHeight="1" x14ac:dyDescent="0.25">
      <c r="A28" s="24" t="s">
        <v>24</v>
      </c>
      <c r="B28" s="53" t="s">
        <v>24</v>
      </c>
      <c r="C28" s="2">
        <v>594.91999999999996</v>
      </c>
      <c r="D28" s="2">
        <v>1</v>
      </c>
      <c r="E28" s="16">
        <v>45808</v>
      </c>
      <c r="F28" s="2">
        <f t="shared" si="5"/>
        <v>594.91999999999996</v>
      </c>
      <c r="G28" s="34"/>
      <c r="H28" s="2" t="s">
        <v>130</v>
      </c>
      <c r="I28" s="25" t="s">
        <v>1</v>
      </c>
    </row>
    <row r="29" spans="1:15" ht="15" customHeight="1" x14ac:dyDescent="0.25">
      <c r="A29" s="24" t="s">
        <v>8</v>
      </c>
      <c r="B29" s="5" t="s">
        <v>9</v>
      </c>
      <c r="C29" s="2">
        <v>54</v>
      </c>
      <c r="D29" s="2">
        <v>12.74</v>
      </c>
      <c r="E29" s="16">
        <v>45838</v>
      </c>
      <c r="F29" s="2">
        <f t="shared" si="5"/>
        <v>687.96</v>
      </c>
      <c r="G29" s="3" t="s">
        <v>72</v>
      </c>
      <c r="H29" s="2" t="s">
        <v>134</v>
      </c>
      <c r="I29" s="26" t="s">
        <v>133</v>
      </c>
      <c r="L29" s="66" t="s">
        <v>212</v>
      </c>
      <c r="M29" s="66" t="s">
        <v>226</v>
      </c>
      <c r="N29" s="66" t="s">
        <v>213</v>
      </c>
      <c r="O29" s="66" t="s">
        <v>214</v>
      </c>
    </row>
    <row r="30" spans="1:15" ht="27.75" customHeight="1" x14ac:dyDescent="0.25">
      <c r="A30" s="24" t="s">
        <v>13</v>
      </c>
      <c r="B30" s="5" t="s">
        <v>16</v>
      </c>
      <c r="C30" s="2">
        <v>6800</v>
      </c>
      <c r="D30" s="2">
        <v>5.8000000000000003E-2</v>
      </c>
      <c r="E30" s="16">
        <v>45838</v>
      </c>
      <c r="F30" s="2">
        <f t="shared" si="5"/>
        <v>394.40000000000003</v>
      </c>
      <c r="G30" s="3" t="s">
        <v>72</v>
      </c>
      <c r="H30" s="2" t="s">
        <v>134</v>
      </c>
      <c r="I30" s="26" t="s">
        <v>133</v>
      </c>
      <c r="L30" s="67" t="s">
        <v>215</v>
      </c>
      <c r="M30" s="68">
        <v>13.04</v>
      </c>
      <c r="N30" s="68">
        <v>1.26</v>
      </c>
      <c r="O30" s="68">
        <v>0.71899999999999997</v>
      </c>
    </row>
    <row r="31" spans="1:15" ht="27.75" customHeight="1" x14ac:dyDescent="0.25">
      <c r="A31" s="24" t="s">
        <v>17</v>
      </c>
      <c r="B31" s="7" t="s">
        <v>18</v>
      </c>
      <c r="C31" s="2">
        <v>7</v>
      </c>
      <c r="D31" s="2">
        <v>29.87</v>
      </c>
      <c r="E31" s="16">
        <v>45838</v>
      </c>
      <c r="F31" s="2">
        <f t="shared" si="5"/>
        <v>209.09</v>
      </c>
      <c r="G31" s="3" t="s">
        <v>73</v>
      </c>
      <c r="H31" s="2" t="s">
        <v>130</v>
      </c>
      <c r="I31" s="25" t="s">
        <v>132</v>
      </c>
      <c r="L31" s="67" t="s">
        <v>219</v>
      </c>
      <c r="M31" s="68">
        <v>15</v>
      </c>
      <c r="N31" s="68">
        <v>0.79400000000000004</v>
      </c>
      <c r="O31" s="68">
        <v>0.81599999999999995</v>
      </c>
    </row>
    <row r="32" spans="1:15" ht="27.75" customHeight="1" x14ac:dyDescent="0.25">
      <c r="A32" s="24" t="s">
        <v>14</v>
      </c>
      <c r="B32" s="6" t="s">
        <v>20</v>
      </c>
      <c r="C32" s="2">
        <v>21</v>
      </c>
      <c r="D32" s="2">
        <v>111.08499999999999</v>
      </c>
      <c r="E32" s="16">
        <v>45838</v>
      </c>
      <c r="F32" s="2">
        <f t="shared" si="5"/>
        <v>2332.7849999999999</v>
      </c>
      <c r="G32" s="3" t="s">
        <v>71</v>
      </c>
      <c r="H32" s="2" t="s">
        <v>130</v>
      </c>
      <c r="I32" s="25" t="s">
        <v>132</v>
      </c>
      <c r="L32" s="67" t="s">
        <v>216</v>
      </c>
      <c r="M32" s="67" t="s">
        <v>220</v>
      </c>
      <c r="N32" s="67" t="s">
        <v>222</v>
      </c>
      <c r="O32" s="67" t="s">
        <v>223</v>
      </c>
    </row>
    <row r="33" spans="1:15" ht="27.75" customHeight="1" x14ac:dyDescent="0.25">
      <c r="A33" s="24" t="s">
        <v>24</v>
      </c>
      <c r="B33" s="53" t="s">
        <v>24</v>
      </c>
      <c r="C33" s="2">
        <v>55.3</v>
      </c>
      <c r="D33" s="2">
        <v>1</v>
      </c>
      <c r="E33" s="16">
        <v>45838</v>
      </c>
      <c r="F33" s="2">
        <f t="shared" si="5"/>
        <v>55.3</v>
      </c>
      <c r="G33" s="34"/>
      <c r="H33" s="2" t="s">
        <v>130</v>
      </c>
      <c r="I33" s="26" t="s">
        <v>1</v>
      </c>
      <c r="L33" s="67" t="s">
        <v>217</v>
      </c>
      <c r="M33" s="69" t="s">
        <v>227</v>
      </c>
      <c r="N33" s="67" t="s">
        <v>225</v>
      </c>
      <c r="O33" s="67" t="s">
        <v>224</v>
      </c>
    </row>
    <row r="34" spans="1:15" ht="27.75" customHeight="1" x14ac:dyDescent="0.25">
      <c r="A34" s="27" t="s">
        <v>8</v>
      </c>
      <c r="B34" s="18" t="s">
        <v>9</v>
      </c>
      <c r="C34" s="2">
        <v>54</v>
      </c>
      <c r="D34" s="2">
        <v>17.309999999999999</v>
      </c>
      <c r="E34" s="16">
        <v>45869</v>
      </c>
      <c r="F34" s="2">
        <f t="shared" si="5"/>
        <v>934.7399999999999</v>
      </c>
      <c r="G34" s="3" t="s">
        <v>74</v>
      </c>
      <c r="H34" s="2" t="s">
        <v>134</v>
      </c>
      <c r="I34" s="26" t="s">
        <v>133</v>
      </c>
      <c r="L34" s="67" t="s">
        <v>218</v>
      </c>
      <c r="M34" s="67" t="s">
        <v>228</v>
      </c>
      <c r="N34" s="67" t="s">
        <v>221</v>
      </c>
      <c r="O34" s="67" t="s">
        <v>221</v>
      </c>
    </row>
    <row r="35" spans="1:15" ht="15" customHeight="1" x14ac:dyDescent="0.25">
      <c r="A35" s="27" t="s">
        <v>21</v>
      </c>
      <c r="B35" s="19" t="s">
        <v>18</v>
      </c>
      <c r="C35" s="17">
        <v>7</v>
      </c>
      <c r="D35" s="2">
        <v>94.66</v>
      </c>
      <c r="E35" s="16">
        <v>45869</v>
      </c>
      <c r="F35" s="2">
        <f t="shared" si="5"/>
        <v>662.62</v>
      </c>
      <c r="G35" s="3" t="s">
        <v>66</v>
      </c>
      <c r="H35" s="2" t="s">
        <v>130</v>
      </c>
      <c r="I35" s="25" t="s">
        <v>132</v>
      </c>
    </row>
    <row r="36" spans="1:15" ht="15" customHeight="1" x14ac:dyDescent="0.25">
      <c r="A36" s="27" t="s">
        <v>13</v>
      </c>
      <c r="B36" s="18" t="s">
        <v>16</v>
      </c>
      <c r="C36" s="2">
        <v>6800</v>
      </c>
      <c r="D36" s="2">
        <v>3.5000000000000003E-2</v>
      </c>
      <c r="E36" s="16">
        <v>45869</v>
      </c>
      <c r="F36" s="2">
        <f t="shared" si="5"/>
        <v>238.00000000000003</v>
      </c>
      <c r="G36" s="3"/>
      <c r="H36" s="2" t="s">
        <v>134</v>
      </c>
      <c r="I36" s="26" t="s">
        <v>133</v>
      </c>
    </row>
    <row r="37" spans="1:15" ht="15" customHeight="1" x14ac:dyDescent="0.25">
      <c r="A37" s="27" t="s">
        <v>22</v>
      </c>
      <c r="B37" s="18" t="s">
        <v>23</v>
      </c>
      <c r="C37" s="17">
        <v>36</v>
      </c>
      <c r="D37" s="2">
        <v>7.1</v>
      </c>
      <c r="E37" s="16">
        <v>45869</v>
      </c>
      <c r="F37" s="2">
        <f t="shared" si="5"/>
        <v>255.6</v>
      </c>
      <c r="G37" s="3" t="s">
        <v>83</v>
      </c>
      <c r="H37" s="2" t="s">
        <v>134</v>
      </c>
      <c r="I37" s="26" t="s">
        <v>133</v>
      </c>
    </row>
    <row r="38" spans="1:15" ht="15" customHeight="1" x14ac:dyDescent="0.25">
      <c r="A38" s="24" t="s">
        <v>14</v>
      </c>
      <c r="B38" s="6" t="s">
        <v>20</v>
      </c>
      <c r="C38" s="2">
        <v>21</v>
      </c>
      <c r="D38" s="2">
        <v>114.303</v>
      </c>
      <c r="E38" s="16">
        <v>45869</v>
      </c>
      <c r="F38" s="2">
        <f t="shared" si="5"/>
        <v>2400.3629999999998</v>
      </c>
      <c r="G38" s="3"/>
      <c r="H38" s="2" t="s">
        <v>130</v>
      </c>
      <c r="I38" s="25" t="s">
        <v>132</v>
      </c>
    </row>
    <row r="39" spans="1:15" ht="15" customHeight="1" x14ac:dyDescent="0.25">
      <c r="A39" s="24" t="s">
        <v>24</v>
      </c>
      <c r="B39" s="54" t="s">
        <v>24</v>
      </c>
      <c r="C39" s="17">
        <v>27.58</v>
      </c>
      <c r="D39" s="2">
        <v>1</v>
      </c>
      <c r="E39" s="16">
        <v>45869</v>
      </c>
      <c r="F39" s="2">
        <f t="shared" si="5"/>
        <v>27.58</v>
      </c>
      <c r="G39" s="34"/>
      <c r="H39" s="2" t="s">
        <v>130</v>
      </c>
      <c r="I39" s="26" t="s">
        <v>1</v>
      </c>
    </row>
    <row r="40" spans="1:15" ht="15" customHeight="1" x14ac:dyDescent="0.25">
      <c r="A40" s="28" t="s">
        <v>30</v>
      </c>
      <c r="B40" s="20" t="s">
        <v>52</v>
      </c>
      <c r="C40" s="17">
        <v>2000</v>
      </c>
      <c r="D40" s="2">
        <v>0.26100000000000001</v>
      </c>
      <c r="E40" s="16">
        <v>45873</v>
      </c>
      <c r="F40" s="2">
        <f t="shared" si="5"/>
        <v>522</v>
      </c>
      <c r="G40" s="3" t="s">
        <v>68</v>
      </c>
      <c r="H40" s="2" t="s">
        <v>130</v>
      </c>
      <c r="I40" s="25" t="s">
        <v>132</v>
      </c>
    </row>
    <row r="41" spans="1:15" ht="15" customHeight="1" x14ac:dyDescent="0.25">
      <c r="A41" s="28" t="e">
        <v>#N/A</v>
      </c>
      <c r="B41" s="20" t="s">
        <v>31</v>
      </c>
      <c r="C41" s="17">
        <v>2000</v>
      </c>
      <c r="D41" s="2">
        <v>6.0999999999999999E-2</v>
      </c>
      <c r="E41" s="16">
        <v>45873</v>
      </c>
      <c r="F41" s="2">
        <f t="shared" si="5"/>
        <v>122</v>
      </c>
      <c r="G41" s="3" t="s">
        <v>69</v>
      </c>
      <c r="H41" s="2" t="s">
        <v>130</v>
      </c>
      <c r="I41" s="25" t="s">
        <v>132</v>
      </c>
    </row>
    <row r="42" spans="1:15" ht="15" customHeight="1" x14ac:dyDescent="0.25">
      <c r="A42" s="28" t="s">
        <v>14</v>
      </c>
      <c r="B42" s="6" t="s">
        <v>20</v>
      </c>
      <c r="C42" s="2">
        <v>21</v>
      </c>
      <c r="D42" s="2">
        <v>116.322</v>
      </c>
      <c r="E42" s="16">
        <v>45873</v>
      </c>
      <c r="F42" s="2">
        <f t="shared" si="5"/>
        <v>2442.7620000000002</v>
      </c>
      <c r="G42" s="3" t="s">
        <v>70</v>
      </c>
      <c r="H42" s="2" t="s">
        <v>130</v>
      </c>
      <c r="I42" s="25" t="s">
        <v>132</v>
      </c>
    </row>
    <row r="43" spans="1:15" ht="15" customHeight="1" x14ac:dyDescent="0.25">
      <c r="A43" s="28" t="s">
        <v>38</v>
      </c>
      <c r="B43" s="8" t="s">
        <v>37</v>
      </c>
      <c r="C43" s="17">
        <v>1142</v>
      </c>
      <c r="D43" s="2">
        <v>0.17499999999999999</v>
      </c>
      <c r="E43" s="16">
        <v>45873</v>
      </c>
      <c r="F43" s="2">
        <f t="shared" si="5"/>
        <v>199.85</v>
      </c>
      <c r="G43" s="3" t="s">
        <v>79</v>
      </c>
      <c r="H43" s="2" t="s">
        <v>136</v>
      </c>
      <c r="I43" s="26" t="s">
        <v>132</v>
      </c>
    </row>
    <row r="44" spans="1:15" ht="15" customHeight="1" x14ac:dyDescent="0.25">
      <c r="A44" s="28" t="s">
        <v>36</v>
      </c>
      <c r="B44" s="8" t="s">
        <v>35</v>
      </c>
      <c r="C44" s="17">
        <v>400</v>
      </c>
      <c r="D44" s="2">
        <v>0.25</v>
      </c>
      <c r="E44" s="16">
        <v>45873</v>
      </c>
      <c r="F44" s="2">
        <f t="shared" si="5"/>
        <v>100</v>
      </c>
      <c r="G44" s="3" t="s">
        <v>79</v>
      </c>
      <c r="H44" s="2" t="s">
        <v>136</v>
      </c>
      <c r="I44" s="26" t="s">
        <v>132</v>
      </c>
    </row>
    <row r="45" spans="1:15" ht="15" customHeight="1" x14ac:dyDescent="0.25">
      <c r="A45" s="27" t="s">
        <v>8</v>
      </c>
      <c r="B45" s="5" t="s">
        <v>9</v>
      </c>
      <c r="C45" s="2">
        <v>54</v>
      </c>
      <c r="D45" s="2">
        <v>7.11</v>
      </c>
      <c r="E45" s="16">
        <v>45873</v>
      </c>
      <c r="F45" s="2">
        <f t="shared" si="5"/>
        <v>383.94</v>
      </c>
      <c r="G45" s="3" t="s">
        <v>75</v>
      </c>
      <c r="H45" s="2" t="s">
        <v>134</v>
      </c>
      <c r="I45" s="26" t="s">
        <v>133</v>
      </c>
    </row>
    <row r="46" spans="1:15" ht="15" customHeight="1" x14ac:dyDescent="0.25">
      <c r="A46" s="28" t="s">
        <v>32</v>
      </c>
      <c r="B46" s="20" t="s">
        <v>33</v>
      </c>
      <c r="C46" s="17">
        <v>73</v>
      </c>
      <c r="D46" s="2">
        <v>25.28</v>
      </c>
      <c r="E46" s="16">
        <v>45873</v>
      </c>
      <c r="F46" s="2">
        <f t="shared" si="5"/>
        <v>1845.44</v>
      </c>
      <c r="G46" s="3" t="s">
        <v>81</v>
      </c>
      <c r="H46" s="2" t="s">
        <v>130</v>
      </c>
      <c r="I46" s="25" t="s">
        <v>132</v>
      </c>
    </row>
    <row r="47" spans="1:15" ht="15" customHeight="1" x14ac:dyDescent="0.25">
      <c r="A47" s="24" t="s">
        <v>24</v>
      </c>
      <c r="B47" s="54" t="s">
        <v>24</v>
      </c>
      <c r="C47" s="17">
        <v>23.21</v>
      </c>
      <c r="D47" s="2">
        <v>1</v>
      </c>
      <c r="E47" s="16">
        <v>45873</v>
      </c>
      <c r="F47" s="2">
        <f t="shared" si="5"/>
        <v>23.21</v>
      </c>
      <c r="G47" s="34"/>
      <c r="H47" s="2" t="s">
        <v>130</v>
      </c>
      <c r="I47" s="26" t="s">
        <v>1</v>
      </c>
    </row>
    <row r="48" spans="1:15" ht="16.5" customHeight="1" x14ac:dyDescent="0.25">
      <c r="A48" s="27" t="s">
        <v>8</v>
      </c>
      <c r="B48" s="5" t="s">
        <v>9</v>
      </c>
      <c r="C48" s="2">
        <v>54</v>
      </c>
      <c r="D48" s="2">
        <v>6.64</v>
      </c>
      <c r="E48" s="16">
        <v>45900</v>
      </c>
      <c r="F48" s="2">
        <f t="shared" si="5"/>
        <v>358.56</v>
      </c>
      <c r="G48" s="3" t="s">
        <v>76</v>
      </c>
      <c r="H48" s="2" t="s">
        <v>134</v>
      </c>
      <c r="I48" s="26" t="s">
        <v>133</v>
      </c>
    </row>
    <row r="49" spans="1:15" ht="15" customHeight="1" x14ac:dyDescent="0.25">
      <c r="A49" s="24"/>
      <c r="B49" s="8" t="s">
        <v>26</v>
      </c>
      <c r="C49" s="2">
        <v>2312</v>
      </c>
      <c r="D49" s="2">
        <v>7.0000000000000007E-2</v>
      </c>
      <c r="E49" s="16">
        <v>45900</v>
      </c>
      <c r="F49" s="2">
        <f t="shared" si="5"/>
        <v>161.84</v>
      </c>
      <c r="G49" s="3" t="s">
        <v>56</v>
      </c>
      <c r="H49" s="2" t="s">
        <v>136</v>
      </c>
      <c r="I49" s="26" t="s">
        <v>133</v>
      </c>
    </row>
    <row r="50" spans="1:15" ht="15" customHeight="1" x14ac:dyDescent="0.25">
      <c r="A50" s="24" t="s">
        <v>25</v>
      </c>
      <c r="B50" s="8" t="s">
        <v>27</v>
      </c>
      <c r="C50" s="2">
        <v>2222</v>
      </c>
      <c r="D50" s="2">
        <v>0.15</v>
      </c>
      <c r="E50" s="16">
        <v>45900</v>
      </c>
      <c r="F50" s="2">
        <f t="shared" si="5"/>
        <v>333.3</v>
      </c>
      <c r="G50" s="3" t="s">
        <v>58</v>
      </c>
      <c r="H50" s="2" t="s">
        <v>136</v>
      </c>
      <c r="I50" s="26" t="s">
        <v>133</v>
      </c>
    </row>
    <row r="51" spans="1:15" ht="15" customHeight="1" x14ac:dyDescent="0.25">
      <c r="A51" s="24"/>
      <c r="B51" s="8" t="s">
        <v>57</v>
      </c>
      <c r="C51" s="2">
        <v>828</v>
      </c>
      <c r="D51" s="2">
        <v>0.26</v>
      </c>
      <c r="E51" s="16">
        <v>45900</v>
      </c>
      <c r="F51" s="2">
        <f t="shared" si="5"/>
        <v>215.28</v>
      </c>
      <c r="G51" s="3" t="s">
        <v>48</v>
      </c>
      <c r="H51" s="2" t="s">
        <v>136</v>
      </c>
      <c r="I51" s="26" t="s">
        <v>133</v>
      </c>
    </row>
    <row r="52" spans="1:15" ht="15" customHeight="1" x14ac:dyDescent="0.25">
      <c r="A52" s="28" t="s">
        <v>38</v>
      </c>
      <c r="B52" s="8" t="s">
        <v>37</v>
      </c>
      <c r="C52" s="17">
        <v>1142</v>
      </c>
      <c r="D52" s="2">
        <v>0.11</v>
      </c>
      <c r="E52" s="16">
        <v>45900</v>
      </c>
      <c r="F52" s="2">
        <f t="shared" si="5"/>
        <v>125.62</v>
      </c>
      <c r="G52" s="3" t="s">
        <v>48</v>
      </c>
      <c r="H52" s="2" t="s">
        <v>136</v>
      </c>
      <c r="I52" s="26" t="s">
        <v>132</v>
      </c>
    </row>
    <row r="53" spans="1:15" ht="15" customHeight="1" x14ac:dyDescent="0.25">
      <c r="A53" s="28" t="s">
        <v>36</v>
      </c>
      <c r="B53" s="8" t="s">
        <v>35</v>
      </c>
      <c r="C53" s="17">
        <v>400</v>
      </c>
      <c r="D53" s="2">
        <v>0.21</v>
      </c>
      <c r="E53" s="16">
        <v>45900</v>
      </c>
      <c r="F53" s="2">
        <f t="shared" si="5"/>
        <v>84</v>
      </c>
      <c r="G53" s="3" t="s">
        <v>77</v>
      </c>
      <c r="H53" s="2" t="s">
        <v>136</v>
      </c>
      <c r="I53" s="26" t="s">
        <v>132</v>
      </c>
    </row>
    <row r="54" spans="1:15" ht="15" customHeight="1" x14ac:dyDescent="0.25">
      <c r="A54" s="28" t="s">
        <v>42</v>
      </c>
      <c r="B54" s="8" t="s">
        <v>41</v>
      </c>
      <c r="C54" s="17">
        <v>10000</v>
      </c>
      <c r="D54" s="2">
        <v>8.5000000000000006E-2</v>
      </c>
      <c r="E54" s="16">
        <v>45900</v>
      </c>
      <c r="F54" s="2">
        <f t="shared" si="5"/>
        <v>850.00000000000011</v>
      </c>
      <c r="G54" s="3" t="s">
        <v>78</v>
      </c>
      <c r="H54" s="2" t="s">
        <v>147</v>
      </c>
      <c r="I54" s="26" t="s">
        <v>137</v>
      </c>
      <c r="L54" s="74" t="s">
        <v>43</v>
      </c>
      <c r="M54" s="74"/>
      <c r="N54" s="74"/>
      <c r="O54" s="74"/>
    </row>
    <row r="55" spans="1:15" ht="15" customHeight="1" x14ac:dyDescent="0.25">
      <c r="A55" s="28" t="s">
        <v>39</v>
      </c>
      <c r="B55" s="8" t="s">
        <v>40</v>
      </c>
      <c r="C55" s="17">
        <v>25000</v>
      </c>
      <c r="D55" s="2">
        <v>3.7999999999999999E-2</v>
      </c>
      <c r="E55" s="16">
        <v>45900</v>
      </c>
      <c r="F55" s="2">
        <f t="shared" si="5"/>
        <v>950</v>
      </c>
      <c r="G55" s="3" t="s">
        <v>59</v>
      </c>
      <c r="H55" s="2" t="s">
        <v>147</v>
      </c>
      <c r="I55" s="26" t="s">
        <v>137</v>
      </c>
      <c r="L55" s="70" t="s">
        <v>206</v>
      </c>
      <c r="M55" s="71" t="s">
        <v>156</v>
      </c>
      <c r="N55" s="71" t="s">
        <v>157</v>
      </c>
      <c r="O55" s="70" t="s">
        <v>240</v>
      </c>
    </row>
    <row r="56" spans="1:15" ht="15" customHeight="1" x14ac:dyDescent="0.25">
      <c r="A56" s="24" t="s">
        <v>60</v>
      </c>
      <c r="B56" s="6" t="s">
        <v>28</v>
      </c>
      <c r="C56" s="2">
        <v>967</v>
      </c>
      <c r="D56" s="2">
        <v>0.28000000000000003</v>
      </c>
      <c r="E56" s="16">
        <v>45900</v>
      </c>
      <c r="F56" s="2">
        <f t="shared" si="5"/>
        <v>270.76000000000005</v>
      </c>
      <c r="G56" s="3" t="s">
        <v>80</v>
      </c>
      <c r="H56" s="2" t="s">
        <v>130</v>
      </c>
      <c r="I56" s="26" t="s">
        <v>133</v>
      </c>
      <c r="L56" s="2" t="s">
        <v>44</v>
      </c>
      <c r="M56" s="3" t="s">
        <v>158</v>
      </c>
      <c r="N56" s="2" t="s">
        <v>46</v>
      </c>
      <c r="O56" s="2" t="s">
        <v>238</v>
      </c>
    </row>
    <row r="57" spans="1:15" ht="15" customHeight="1" x14ac:dyDescent="0.25">
      <c r="A57" s="24" t="s">
        <v>24</v>
      </c>
      <c r="B57" s="53" t="s">
        <v>24</v>
      </c>
      <c r="C57" s="2">
        <v>4676.72</v>
      </c>
      <c r="D57" s="2">
        <v>1</v>
      </c>
      <c r="E57" s="16">
        <v>45900</v>
      </c>
      <c r="F57" s="2">
        <f t="shared" si="5"/>
        <v>4676.72</v>
      </c>
      <c r="G57" s="34" t="s">
        <v>82</v>
      </c>
      <c r="H57" s="2" t="s">
        <v>130</v>
      </c>
      <c r="I57" s="26" t="s">
        <v>1</v>
      </c>
      <c r="L57" s="2" t="s">
        <v>45</v>
      </c>
      <c r="M57" s="3" t="s">
        <v>159</v>
      </c>
      <c r="N57" s="2" t="s">
        <v>46</v>
      </c>
      <c r="O57" s="2" t="s">
        <v>238</v>
      </c>
    </row>
    <row r="58" spans="1:15" ht="15" customHeight="1" x14ac:dyDescent="0.25">
      <c r="A58" s="27" t="s">
        <v>30</v>
      </c>
      <c r="B58" s="6" t="s">
        <v>49</v>
      </c>
      <c r="C58" s="17">
        <v>380</v>
      </c>
      <c r="D58" s="2">
        <v>6.36</v>
      </c>
      <c r="E58" s="16">
        <v>45926</v>
      </c>
      <c r="F58" s="2">
        <f t="shared" si="5"/>
        <v>2416.8000000000002</v>
      </c>
      <c r="G58" s="3" t="s">
        <v>50</v>
      </c>
      <c r="H58" s="2" t="s">
        <v>130</v>
      </c>
      <c r="I58" s="25" t="s">
        <v>132</v>
      </c>
      <c r="L58" s="2" t="s">
        <v>154</v>
      </c>
      <c r="M58" s="3" t="s">
        <v>158</v>
      </c>
      <c r="N58" s="2" t="s">
        <v>46</v>
      </c>
      <c r="O58" s="2" t="s">
        <v>238</v>
      </c>
    </row>
    <row r="59" spans="1:15" ht="15" customHeight="1" x14ac:dyDescent="0.25">
      <c r="A59" s="24" t="s">
        <v>51</v>
      </c>
      <c r="B59" s="6" t="s">
        <v>53</v>
      </c>
      <c r="C59" s="17">
        <v>17</v>
      </c>
      <c r="D59" s="2">
        <v>47.56</v>
      </c>
      <c r="E59" s="16">
        <v>45926</v>
      </c>
      <c r="F59" s="2">
        <f t="shared" si="5"/>
        <v>808.52</v>
      </c>
      <c r="G59" s="3" t="s">
        <v>93</v>
      </c>
      <c r="H59" s="2" t="s">
        <v>130</v>
      </c>
      <c r="I59" s="25" t="s">
        <v>132</v>
      </c>
      <c r="L59" s="2" t="s">
        <v>155</v>
      </c>
      <c r="M59" s="3" t="s">
        <v>158</v>
      </c>
      <c r="N59" s="2" t="s">
        <v>46</v>
      </c>
      <c r="O59" s="2" t="s">
        <v>238</v>
      </c>
    </row>
    <row r="60" spans="1:15" ht="15" customHeight="1" x14ac:dyDescent="0.25">
      <c r="A60" s="24" t="s">
        <v>60</v>
      </c>
      <c r="B60" s="6" t="s">
        <v>28</v>
      </c>
      <c r="C60" s="17">
        <v>967</v>
      </c>
      <c r="D60" s="2">
        <v>1.31</v>
      </c>
      <c r="E60" s="16">
        <v>45926</v>
      </c>
      <c r="F60" s="2">
        <f t="shared" si="5"/>
        <v>1266.77</v>
      </c>
      <c r="G60" s="3" t="s">
        <v>65</v>
      </c>
      <c r="H60" s="2" t="s">
        <v>130</v>
      </c>
      <c r="I60" s="26" t="s">
        <v>133</v>
      </c>
      <c r="L60" s="2" t="s">
        <v>160</v>
      </c>
      <c r="M60" s="3" t="s">
        <v>158</v>
      </c>
      <c r="N60" s="2" t="s">
        <v>46</v>
      </c>
      <c r="O60" s="2" t="s">
        <v>238</v>
      </c>
    </row>
    <row r="61" spans="1:15" ht="15" customHeight="1" x14ac:dyDescent="0.25">
      <c r="A61" s="24" t="s">
        <v>25</v>
      </c>
      <c r="B61" s="7" t="s">
        <v>27</v>
      </c>
      <c r="C61" s="17">
        <v>2222</v>
      </c>
      <c r="D61" s="2">
        <v>2.58</v>
      </c>
      <c r="E61" s="16">
        <v>45926</v>
      </c>
      <c r="F61" s="2">
        <f t="shared" si="5"/>
        <v>5732.76</v>
      </c>
      <c r="G61" s="3" t="s">
        <v>94</v>
      </c>
      <c r="H61" s="2" t="s">
        <v>134</v>
      </c>
      <c r="I61" s="26" t="s">
        <v>133</v>
      </c>
      <c r="L61" s="2" t="s">
        <v>161</v>
      </c>
      <c r="M61" s="3" t="s">
        <v>162</v>
      </c>
      <c r="N61" s="2" t="s">
        <v>46</v>
      </c>
      <c r="O61" s="2" t="s">
        <v>238</v>
      </c>
    </row>
    <row r="62" spans="1:15" ht="15" customHeight="1" x14ac:dyDescent="0.25">
      <c r="A62" s="24" t="s">
        <v>61</v>
      </c>
      <c r="B62" s="5" t="s">
        <v>62</v>
      </c>
      <c r="C62" s="17">
        <v>3300</v>
      </c>
      <c r="D62" s="2">
        <v>6.0999999999999999E-2</v>
      </c>
      <c r="E62" s="16">
        <v>45926</v>
      </c>
      <c r="F62" s="2">
        <f t="shared" si="5"/>
        <v>201.29999999999998</v>
      </c>
      <c r="G62" s="3" t="s">
        <v>95</v>
      </c>
      <c r="H62" s="2" t="s">
        <v>134</v>
      </c>
      <c r="I62" s="26" t="s">
        <v>133</v>
      </c>
      <c r="L62" s="2" t="s">
        <v>163</v>
      </c>
      <c r="M62" s="3" t="s">
        <v>164</v>
      </c>
      <c r="N62" s="2" t="s">
        <v>46</v>
      </c>
      <c r="O62" s="2" t="s">
        <v>238</v>
      </c>
    </row>
    <row r="63" spans="1:15" ht="15" customHeight="1" x14ac:dyDescent="0.25">
      <c r="A63" s="24" t="s">
        <v>63</v>
      </c>
      <c r="B63" s="7" t="s">
        <v>64</v>
      </c>
      <c r="C63" s="17">
        <v>2413</v>
      </c>
      <c r="D63" s="2">
        <v>0.35499999999999998</v>
      </c>
      <c r="E63" s="16">
        <v>45926</v>
      </c>
      <c r="F63" s="2">
        <f t="shared" si="5"/>
        <v>856.61500000000001</v>
      </c>
      <c r="G63" s="3" t="s">
        <v>96</v>
      </c>
      <c r="H63" s="2" t="s">
        <v>126</v>
      </c>
      <c r="I63" s="26" t="s">
        <v>133</v>
      </c>
      <c r="L63" s="2" t="s">
        <v>165</v>
      </c>
      <c r="M63" s="3" t="s">
        <v>164</v>
      </c>
      <c r="N63" s="2" t="s">
        <v>46</v>
      </c>
      <c r="O63" s="2" t="s">
        <v>238</v>
      </c>
    </row>
    <row r="64" spans="1:15" ht="15" customHeight="1" x14ac:dyDescent="0.25">
      <c r="A64" s="24"/>
      <c r="B64" s="8" t="s">
        <v>67</v>
      </c>
      <c r="C64" s="17">
        <v>220</v>
      </c>
      <c r="D64" s="2">
        <v>0.89</v>
      </c>
      <c r="E64" s="16">
        <v>45926</v>
      </c>
      <c r="F64" s="2">
        <f t="shared" si="5"/>
        <v>195.8</v>
      </c>
      <c r="G64" s="3" t="s">
        <v>97</v>
      </c>
      <c r="H64" s="2" t="s">
        <v>126</v>
      </c>
      <c r="I64" s="26" t="s">
        <v>132</v>
      </c>
      <c r="L64" s="2" t="s">
        <v>3</v>
      </c>
      <c r="M64" s="3" t="s">
        <v>164</v>
      </c>
      <c r="N64" s="2" t="s">
        <v>46</v>
      </c>
      <c r="O64" s="2" t="s">
        <v>238</v>
      </c>
    </row>
    <row r="65" spans="1:15" ht="15" customHeight="1" x14ac:dyDescent="0.25">
      <c r="A65" s="24" t="s">
        <v>90</v>
      </c>
      <c r="B65" s="8" t="s">
        <v>89</v>
      </c>
      <c r="C65" s="17">
        <v>1000</v>
      </c>
      <c r="D65" s="2">
        <v>0.15</v>
      </c>
      <c r="E65" s="16">
        <v>45926</v>
      </c>
      <c r="F65" s="2">
        <f t="shared" si="5"/>
        <v>150</v>
      </c>
      <c r="G65" s="3" t="s">
        <v>98</v>
      </c>
      <c r="H65" s="2" t="s">
        <v>134</v>
      </c>
      <c r="I65" s="26" t="s">
        <v>132</v>
      </c>
      <c r="L65" s="2" t="s">
        <v>166</v>
      </c>
      <c r="M65" s="3" t="s">
        <v>167</v>
      </c>
      <c r="N65" s="2" t="s">
        <v>47</v>
      </c>
      <c r="O65" s="2" t="s">
        <v>238</v>
      </c>
    </row>
    <row r="66" spans="1:15" ht="15" customHeight="1" x14ac:dyDescent="0.25">
      <c r="A66" s="24" t="s">
        <v>91</v>
      </c>
      <c r="B66" s="8" t="s">
        <v>92</v>
      </c>
      <c r="C66" s="17">
        <v>2500</v>
      </c>
      <c r="D66" s="2">
        <v>0.1</v>
      </c>
      <c r="E66" s="16">
        <v>45926</v>
      </c>
      <c r="F66" s="2">
        <f t="shared" si="5"/>
        <v>250</v>
      </c>
      <c r="G66" s="3" t="s">
        <v>99</v>
      </c>
      <c r="H66" s="2" t="s">
        <v>134</v>
      </c>
      <c r="I66" s="26" t="s">
        <v>132</v>
      </c>
      <c r="L66" s="2" t="s">
        <v>168</v>
      </c>
      <c r="M66" s="3" t="s">
        <v>169</v>
      </c>
      <c r="N66" s="2" t="s">
        <v>47</v>
      </c>
      <c r="O66" s="2" t="s">
        <v>238</v>
      </c>
    </row>
    <row r="67" spans="1:15" ht="15" customHeight="1" x14ac:dyDescent="0.25">
      <c r="A67" s="24"/>
      <c r="B67" s="29" t="s">
        <v>40</v>
      </c>
      <c r="C67" s="17">
        <v>0</v>
      </c>
      <c r="D67" s="2">
        <v>0</v>
      </c>
      <c r="E67" s="16">
        <v>45926</v>
      </c>
      <c r="F67" s="2">
        <f t="shared" si="5"/>
        <v>0</v>
      </c>
      <c r="G67" s="35" t="s">
        <v>107</v>
      </c>
      <c r="H67" s="2" t="s">
        <v>134</v>
      </c>
      <c r="I67" s="26" t="s">
        <v>137</v>
      </c>
      <c r="L67" s="2" t="s">
        <v>2</v>
      </c>
      <c r="M67" s="3" t="s">
        <v>170</v>
      </c>
      <c r="N67" s="2" t="s">
        <v>47</v>
      </c>
      <c r="O67" s="2" t="s">
        <v>238</v>
      </c>
    </row>
    <row r="68" spans="1:15" ht="15" customHeight="1" x14ac:dyDescent="0.25">
      <c r="A68" s="28" t="s">
        <v>38</v>
      </c>
      <c r="B68" s="8" t="s">
        <v>37</v>
      </c>
      <c r="C68" s="17">
        <v>1142</v>
      </c>
      <c r="D68" s="2">
        <v>0.09</v>
      </c>
      <c r="E68" s="16">
        <v>45926</v>
      </c>
      <c r="F68" s="2">
        <f t="shared" si="5"/>
        <v>102.78</v>
      </c>
      <c r="G68" s="3" t="s">
        <v>100</v>
      </c>
      <c r="H68" s="2" t="s">
        <v>136</v>
      </c>
      <c r="I68" s="26" t="s">
        <v>132</v>
      </c>
      <c r="L68" s="2" t="s">
        <v>171</v>
      </c>
      <c r="M68" s="3" t="s">
        <v>172</v>
      </c>
      <c r="N68" s="2" t="s">
        <v>47</v>
      </c>
      <c r="O68" s="2" t="s">
        <v>238</v>
      </c>
    </row>
    <row r="69" spans="1:15" ht="15" customHeight="1" x14ac:dyDescent="0.25">
      <c r="A69" s="28" t="s">
        <v>36</v>
      </c>
      <c r="B69" s="8" t="s">
        <v>35</v>
      </c>
      <c r="C69" s="17">
        <v>400</v>
      </c>
      <c r="D69" s="2">
        <v>0.23599999999999999</v>
      </c>
      <c r="E69" s="16">
        <v>45926</v>
      </c>
      <c r="F69" s="2">
        <f t="shared" si="5"/>
        <v>94.399999999999991</v>
      </c>
      <c r="G69" s="3" t="s">
        <v>101</v>
      </c>
      <c r="H69" s="2" t="s">
        <v>136</v>
      </c>
      <c r="I69" s="26" t="s">
        <v>132</v>
      </c>
      <c r="L69" s="2" t="s">
        <v>173</v>
      </c>
      <c r="M69" s="3" t="s">
        <v>174</v>
      </c>
      <c r="N69" s="2" t="s">
        <v>47</v>
      </c>
      <c r="O69" s="2" t="s">
        <v>238</v>
      </c>
    </row>
    <row r="70" spans="1:15" ht="15" customHeight="1" x14ac:dyDescent="0.25">
      <c r="A70" s="24" t="s">
        <v>84</v>
      </c>
      <c r="B70" s="7" t="s">
        <v>85</v>
      </c>
      <c r="C70" s="17">
        <v>3500</v>
      </c>
      <c r="D70" s="2">
        <v>0.1</v>
      </c>
      <c r="E70" s="16">
        <v>45926</v>
      </c>
      <c r="F70" s="2">
        <f t="shared" si="5"/>
        <v>350</v>
      </c>
      <c r="G70" s="3" t="s">
        <v>103</v>
      </c>
      <c r="H70" s="2" t="s">
        <v>136</v>
      </c>
      <c r="I70" s="25" t="s">
        <v>138</v>
      </c>
      <c r="L70" s="2" t="s">
        <v>175</v>
      </c>
      <c r="M70" s="3" t="s">
        <v>178</v>
      </c>
      <c r="N70" s="2" t="s">
        <v>46</v>
      </c>
      <c r="O70" s="2" t="s">
        <v>238</v>
      </c>
    </row>
    <row r="71" spans="1:15" ht="15" customHeight="1" x14ac:dyDescent="0.25">
      <c r="A71" s="24" t="s">
        <v>87</v>
      </c>
      <c r="B71" s="7" t="s">
        <v>86</v>
      </c>
      <c r="C71" s="17">
        <v>2000</v>
      </c>
      <c r="D71" s="2">
        <v>0.09</v>
      </c>
      <c r="E71" s="16">
        <v>45926</v>
      </c>
      <c r="F71" s="2">
        <f t="shared" si="5"/>
        <v>180</v>
      </c>
      <c r="G71" s="3" t="s">
        <v>102</v>
      </c>
      <c r="H71" s="2" t="s">
        <v>136</v>
      </c>
      <c r="I71" s="25" t="s">
        <v>138</v>
      </c>
      <c r="L71" s="2" t="s">
        <v>176</v>
      </c>
      <c r="M71" s="3" t="s">
        <v>179</v>
      </c>
      <c r="N71" s="2" t="s">
        <v>46</v>
      </c>
      <c r="O71" s="2" t="s">
        <v>238</v>
      </c>
    </row>
    <row r="72" spans="1:15" ht="15" customHeight="1" thickBot="1" x14ac:dyDescent="0.3">
      <c r="A72" s="44" t="s">
        <v>12</v>
      </c>
      <c r="B72" s="45" t="s">
        <v>106</v>
      </c>
      <c r="C72" s="46">
        <v>14041.63</v>
      </c>
      <c r="D72" s="47">
        <v>1</v>
      </c>
      <c r="E72" s="48">
        <v>45929</v>
      </c>
      <c r="F72" s="47">
        <f>C72*D72</f>
        <v>14041.63</v>
      </c>
      <c r="G72" s="45"/>
      <c r="H72" s="47"/>
      <c r="I72" s="49"/>
      <c r="L72" s="2" t="s">
        <v>177</v>
      </c>
      <c r="M72" s="3" t="s">
        <v>180</v>
      </c>
      <c r="N72" s="2" t="s">
        <v>47</v>
      </c>
      <c r="O72" s="2" t="s">
        <v>238</v>
      </c>
    </row>
    <row r="73" spans="1:15" ht="15" customHeight="1" x14ac:dyDescent="0.25">
      <c r="L73" s="2" t="s">
        <v>181</v>
      </c>
      <c r="M73" s="3" t="s">
        <v>182</v>
      </c>
      <c r="N73" s="2" t="s">
        <v>47</v>
      </c>
      <c r="O73" s="2" t="s">
        <v>238</v>
      </c>
    </row>
    <row r="74" spans="1:15" x14ac:dyDescent="0.25">
      <c r="L74" s="2" t="s">
        <v>183</v>
      </c>
      <c r="M74" s="3" t="s">
        <v>184</v>
      </c>
      <c r="N74" s="2" t="s">
        <v>47</v>
      </c>
      <c r="O74" s="2" t="s">
        <v>238</v>
      </c>
    </row>
    <row r="75" spans="1:15" ht="30" x14ac:dyDescent="0.25">
      <c r="L75" s="2" t="s">
        <v>185</v>
      </c>
      <c r="M75" s="3" t="s">
        <v>188</v>
      </c>
      <c r="N75" s="2" t="s">
        <v>47</v>
      </c>
      <c r="O75" s="2" t="s">
        <v>238</v>
      </c>
    </row>
    <row r="76" spans="1:15" ht="16.5" customHeight="1" x14ac:dyDescent="0.25">
      <c r="L76" s="2" t="s">
        <v>186</v>
      </c>
      <c r="M76" s="3" t="s">
        <v>189</v>
      </c>
      <c r="N76" s="2" t="s">
        <v>47</v>
      </c>
      <c r="O76" s="2" t="s">
        <v>238</v>
      </c>
    </row>
    <row r="77" spans="1:15" x14ac:dyDescent="0.25">
      <c r="L77" s="2" t="s">
        <v>187</v>
      </c>
      <c r="M77" s="3" t="s">
        <v>190</v>
      </c>
      <c r="N77" s="2" t="s">
        <v>47</v>
      </c>
      <c r="O77" s="2" t="s">
        <v>238</v>
      </c>
    </row>
    <row r="78" spans="1:15" x14ac:dyDescent="0.25">
      <c r="L78" s="2" t="s">
        <v>191</v>
      </c>
      <c r="M78" s="3" t="s">
        <v>195</v>
      </c>
      <c r="N78" s="2" t="s">
        <v>47</v>
      </c>
      <c r="O78" s="2" t="s">
        <v>238</v>
      </c>
    </row>
    <row r="79" spans="1:15" x14ac:dyDescent="0.25">
      <c r="L79" s="2" t="s">
        <v>32</v>
      </c>
      <c r="M79" s="3" t="s">
        <v>195</v>
      </c>
      <c r="N79" s="2" t="s">
        <v>47</v>
      </c>
      <c r="O79" s="2" t="s">
        <v>238</v>
      </c>
    </row>
    <row r="80" spans="1:15" x14ac:dyDescent="0.25">
      <c r="L80" s="2" t="s">
        <v>192</v>
      </c>
      <c r="M80" s="3" t="s">
        <v>195</v>
      </c>
      <c r="N80" s="2" t="s">
        <v>47</v>
      </c>
      <c r="O80" s="2" t="s">
        <v>238</v>
      </c>
    </row>
    <row r="81" spans="12:15" x14ac:dyDescent="0.25">
      <c r="L81" s="2" t="s">
        <v>193</v>
      </c>
      <c r="M81" s="3" t="s">
        <v>196</v>
      </c>
      <c r="N81" s="2" t="s">
        <v>47</v>
      </c>
      <c r="O81" s="2" t="s">
        <v>238</v>
      </c>
    </row>
    <row r="82" spans="12:15" x14ac:dyDescent="0.25">
      <c r="L82" s="2" t="s">
        <v>194</v>
      </c>
      <c r="M82" s="3" t="s">
        <v>197</v>
      </c>
      <c r="N82" s="2" t="s">
        <v>47</v>
      </c>
      <c r="O82" s="2" t="s">
        <v>238</v>
      </c>
    </row>
    <row r="83" spans="12:15" ht="30" x14ac:dyDescent="0.25">
      <c r="L83" s="2" t="s">
        <v>198</v>
      </c>
      <c r="M83" s="3" t="s">
        <v>205</v>
      </c>
      <c r="N83" s="2" t="s">
        <v>47</v>
      </c>
      <c r="O83" s="2" t="s">
        <v>238</v>
      </c>
    </row>
    <row r="84" spans="12:15" x14ac:dyDescent="0.25">
      <c r="L84" s="2" t="s">
        <v>199</v>
      </c>
      <c r="M84" s="3" t="s">
        <v>204</v>
      </c>
      <c r="N84" s="2" t="s">
        <v>47</v>
      </c>
      <c r="O84" s="2" t="s">
        <v>237</v>
      </c>
    </row>
    <row r="85" spans="12:15" x14ac:dyDescent="0.25">
      <c r="L85" s="2" t="s">
        <v>202</v>
      </c>
      <c r="M85" s="3" t="s">
        <v>195</v>
      </c>
      <c r="N85" s="2" t="s">
        <v>47</v>
      </c>
      <c r="O85" s="2" t="s">
        <v>239</v>
      </c>
    </row>
    <row r="86" spans="12:15" x14ac:dyDescent="0.25">
      <c r="L86" s="2" t="s">
        <v>201</v>
      </c>
      <c r="M86" s="3" t="s">
        <v>0</v>
      </c>
      <c r="N86" s="2" t="s">
        <v>47</v>
      </c>
      <c r="O86" s="2" t="s">
        <v>239</v>
      </c>
    </row>
    <row r="87" spans="12:15" x14ac:dyDescent="0.25">
      <c r="L87" s="2" t="s">
        <v>200</v>
      </c>
      <c r="M87" s="3" t="s">
        <v>203</v>
      </c>
      <c r="N87" s="2" t="s">
        <v>46</v>
      </c>
      <c r="O87" s="2" t="s">
        <v>243</v>
      </c>
    </row>
    <row r="88" spans="12:15" x14ac:dyDescent="0.25">
      <c r="L88" s="2" t="s">
        <v>242</v>
      </c>
      <c r="M88" s="3" t="s">
        <v>203</v>
      </c>
      <c r="N88" s="2" t="s">
        <v>47</v>
      </c>
      <c r="O88" s="2" t="s">
        <v>243</v>
      </c>
    </row>
    <row r="89" spans="12:15" x14ac:dyDescent="0.25">
      <c r="L89" s="72" t="s">
        <v>229</v>
      </c>
      <c r="M89" s="73" t="s">
        <v>230</v>
      </c>
      <c r="N89" s="72" t="s">
        <v>46</v>
      </c>
      <c r="O89" s="72" t="s">
        <v>236</v>
      </c>
    </row>
    <row r="90" spans="12:15" ht="30" x14ac:dyDescent="0.25">
      <c r="L90" s="72" t="s">
        <v>231</v>
      </c>
      <c r="M90" s="73" t="s">
        <v>234</v>
      </c>
      <c r="N90" s="72" t="s">
        <v>47</v>
      </c>
      <c r="O90" s="72" t="s">
        <v>236</v>
      </c>
    </row>
    <row r="91" spans="12:15" x14ac:dyDescent="0.25">
      <c r="L91" s="72" t="s">
        <v>232</v>
      </c>
      <c r="M91" s="73" t="s">
        <v>233</v>
      </c>
      <c r="N91" s="2" t="s">
        <v>46</v>
      </c>
      <c r="O91" s="72" t="s">
        <v>236</v>
      </c>
    </row>
    <row r="92" spans="12:15" x14ac:dyDescent="0.25">
      <c r="L92" s="72" t="s">
        <v>235</v>
      </c>
      <c r="M92" s="73" t="s">
        <v>241</v>
      </c>
      <c r="N92" s="2" t="s">
        <v>46</v>
      </c>
      <c r="O92" s="72" t="s">
        <v>236</v>
      </c>
    </row>
  </sheetData>
  <autoFilter ref="A1:I72" xr:uid="{5F2C0330-BC1F-4C03-B029-374858E56D74}"/>
  <mergeCells count="1">
    <mergeCell ref="L54:O54"/>
  </mergeCells>
  <hyperlinks>
    <hyperlink ref="O30" r:id="rId1" tooltip="NYSE Arca Gold BUGS Index (^HUI)" display="https://ycharts.com/indices/%5EHUI?utm_source=chatgpt.com" xr:uid="{E8991519-3AEA-4EE2-8A67-5A23F23FFD7A}"/>
    <hyperlink ref="N31" r:id="rId2" tooltip="Amplify Junior Silver Miners ETF (SILJ)" display="https://stockanalysis.com/etf/silj/?utm_source=chatgpt.com" xr:uid="{2E8DE7D6-F173-48FA-B46D-02E728F641AB}"/>
    <hyperlink ref="O31" r:id="rId3" tooltip="NYSE Arca Gold BUGS Index (^HUI)" display="https://ycharts.com/indices/%5EHUI?utm_source=chatgpt.com" xr:uid="{65935BAF-85AC-4DBC-875A-AD04E311693C}"/>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Full_transac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Rissel Omnix</dc:creator>
  <cp:lastModifiedBy>Rissel Omnix</cp:lastModifiedBy>
  <dcterms:created xsi:type="dcterms:W3CDTF">2015-06-05T18:17:20Z</dcterms:created>
  <dcterms:modified xsi:type="dcterms:W3CDTF">2025-09-29T13:41:46Z</dcterms:modified>
</cp:coreProperties>
</file>